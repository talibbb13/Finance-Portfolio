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talib\Desktop\Finance-Portfolio\Projects\HUL DCF Valuation\"/>
    </mc:Choice>
  </mc:AlternateContent>
  <xr:revisionPtr revIDLastSave="0" documentId="13_ncr:1_{592D0197-1AE6-4592-BF64-DBBDE0C3D7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7" r:id="rId1"/>
    <sheet name="Dashboard" sheetId="10" r:id="rId2"/>
    <sheet name="Assumptions" sheetId="2" r:id="rId3"/>
    <sheet name="Core_Model" sheetId="1" r:id="rId4"/>
    <sheet name="Schedules" sheetId="4" r:id="rId5"/>
    <sheet name="Valuation_DCF" sheetId="5" r:id="rId6"/>
    <sheet name="Sensitivity_Analysis" sheetId="9" r:id="rId7"/>
    <sheet name="Appendix" sheetId="6" r:id="rId8"/>
    <sheet name="Rough" sheetId="8" state="hidden" r:id="rId9"/>
  </sheets>
  <definedNames>
    <definedName name="_xlnm.Print_Area" localSheetId="7">Appendix!$B$2:$D$16</definedName>
    <definedName name="_xlnm.Print_Area" localSheetId="2">Assumptions!$B$2:$L$31,Assumptions!$B$33:$L$72</definedName>
    <definedName name="_xlnm.Print_Area" localSheetId="3">Core_Model!$B$2:$L$25,Core_Model!$B$28:$L$65,Core_Model!$B$67:$L$109</definedName>
    <definedName name="_xlnm.Print_Area" localSheetId="0">Cover!$B$2:$S$33</definedName>
    <definedName name="_xlnm.Print_Area" localSheetId="1">Dashboard!$B$2:$Q$33</definedName>
    <definedName name="_xlnm.Print_Area" localSheetId="4">Schedules!$B$2:$L$23,Schedules!$B$25:$L$56,Schedules!$B$58:$L$93,Schedules!$B$95:$L$124,Schedules!$B$126:$L$155,Schedules!$B$157:$L$182,Schedules!$B$184:$L$209</definedName>
    <definedName name="_xlnm.Print_Area" localSheetId="6">Sensitivity_Analysis!$B$2:$P$27,Sensitivity_Analysis!$B$30:$P$62</definedName>
    <definedName name="_xlnm.Print_Area" localSheetId="5">Valuation_DCF!$B$2:$L$30,Valuation_DCF!$B$32:$L$58,Valuation_DCF!$B$61:$L$86,Valuation_DCF!$B$88:$L$110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1" i="5" l="1"/>
  <c r="J91" i="5"/>
  <c r="K91" i="5"/>
  <c r="H91" i="5"/>
  <c r="I50" i="5"/>
  <c r="J50" i="5"/>
  <c r="H50" i="5"/>
  <c r="H57" i="5" s="1"/>
  <c r="H56" i="9"/>
  <c r="H57" i="9"/>
  <c r="H58" i="9"/>
  <c r="H61" i="9"/>
  <c r="I101" i="1"/>
  <c r="J101" i="1" s="1"/>
  <c r="K101" i="1" s="1"/>
  <c r="L101" i="1" s="1"/>
  <c r="H101" i="1"/>
  <c r="L3" i="5"/>
  <c r="L33" i="5" s="1"/>
  <c r="L73" i="5" s="1"/>
  <c r="K3" i="5"/>
  <c r="K33" i="5" s="1"/>
  <c r="K73" i="5" s="1"/>
  <c r="J3" i="5"/>
  <c r="J33" i="5" s="1"/>
  <c r="J73" i="5" s="1"/>
  <c r="I3" i="5"/>
  <c r="I33" i="5" s="1"/>
  <c r="I73" i="5" s="1"/>
  <c r="H3" i="5"/>
  <c r="H33" i="5" s="1"/>
  <c r="H73" i="5" s="1"/>
  <c r="D3" i="5"/>
  <c r="D33" i="5" s="1"/>
  <c r="D73" i="5" s="1"/>
  <c r="C3" i="5"/>
  <c r="C33" i="5" s="1"/>
  <c r="C73" i="5" s="1"/>
  <c r="B3" i="5"/>
  <c r="B33" i="5" s="1"/>
  <c r="B73" i="5" s="1"/>
  <c r="L3" i="4"/>
  <c r="L26" i="4" s="1"/>
  <c r="K3" i="4"/>
  <c r="K26" i="4" s="1"/>
  <c r="J3" i="4"/>
  <c r="J59" i="4" s="1"/>
  <c r="J77" i="4" s="1"/>
  <c r="J96" i="4" s="1"/>
  <c r="J127" i="4" s="1"/>
  <c r="J158" i="4" s="1"/>
  <c r="J205" i="4" s="1"/>
  <c r="I3" i="4"/>
  <c r="I26" i="4" s="1"/>
  <c r="H3" i="4"/>
  <c r="H59" i="4" s="1"/>
  <c r="H77" i="4" s="1"/>
  <c r="H96" i="4" s="1"/>
  <c r="H127" i="4" s="1"/>
  <c r="H158" i="4" s="1"/>
  <c r="H205" i="4" s="1"/>
  <c r="G3" i="4"/>
  <c r="G59" i="4" s="1"/>
  <c r="G77" i="4" s="1"/>
  <c r="G96" i="4" s="1"/>
  <c r="G127" i="4" s="1"/>
  <c r="G158" i="4" s="1"/>
  <c r="G205" i="4" s="1"/>
  <c r="F3" i="4"/>
  <c r="F59" i="4" s="1"/>
  <c r="F77" i="4" s="1"/>
  <c r="F96" i="4" s="1"/>
  <c r="F127" i="4" s="1"/>
  <c r="F158" i="4" s="1"/>
  <c r="F205" i="4" s="1"/>
  <c r="E3" i="4"/>
  <c r="E59" i="4" s="1"/>
  <c r="E77" i="4" s="1"/>
  <c r="E96" i="4" s="1"/>
  <c r="E127" i="4" s="1"/>
  <c r="E158" i="4" s="1"/>
  <c r="E205" i="4" s="1"/>
  <c r="D3" i="4"/>
  <c r="D59" i="4" s="1"/>
  <c r="D77" i="4" s="1"/>
  <c r="D96" i="4" s="1"/>
  <c r="D127" i="4" s="1"/>
  <c r="D158" i="4" s="1"/>
  <c r="D205" i="4" s="1"/>
  <c r="C3" i="4"/>
  <c r="C26" i="4" s="1"/>
  <c r="B3" i="4"/>
  <c r="B59" i="4" s="1"/>
  <c r="B77" i="4" s="1"/>
  <c r="B96" i="4" s="1"/>
  <c r="B127" i="4" s="1"/>
  <c r="B158" i="4" s="1"/>
  <c r="B205" i="4" s="1"/>
  <c r="X4" i="10"/>
  <c r="W4" i="10"/>
  <c r="V4" i="10"/>
  <c r="U4" i="10"/>
  <c r="T4" i="10"/>
  <c r="S4" i="10"/>
  <c r="D26" i="4" l="1"/>
  <c r="B26" i="4"/>
  <c r="C59" i="4"/>
  <c r="C77" i="4" s="1"/>
  <c r="C96" i="4" s="1"/>
  <c r="C127" i="4" s="1"/>
  <c r="C158" i="4" s="1"/>
  <c r="C205" i="4" s="1"/>
  <c r="J26" i="4"/>
  <c r="K59" i="4"/>
  <c r="K77" i="4" s="1"/>
  <c r="K96" i="4" s="1"/>
  <c r="K127" i="4" s="1"/>
  <c r="K158" i="4" s="1"/>
  <c r="K205" i="4" s="1"/>
  <c r="L59" i="4"/>
  <c r="L77" i="4" s="1"/>
  <c r="L96" i="4" s="1"/>
  <c r="L127" i="4" s="1"/>
  <c r="L158" i="4" s="1"/>
  <c r="L205" i="4" s="1"/>
  <c r="H26" i="4"/>
  <c r="I59" i="4"/>
  <c r="I77" i="4" s="1"/>
  <c r="I96" i="4" s="1"/>
  <c r="I127" i="4" s="1"/>
  <c r="I158" i="4" s="1"/>
  <c r="I205" i="4" s="1"/>
  <c r="B3" i="1" l="1"/>
  <c r="B29" i="1" s="1"/>
  <c r="B68" i="1" s="1"/>
  <c r="F35" i="9" l="1"/>
  <c r="F11" i="9"/>
  <c r="C77" i="5"/>
  <c r="C37" i="5"/>
  <c r="H43" i="2" a="1"/>
  <c r="H43" i="2" s="1"/>
  <c r="C38" i="5" l="1"/>
  <c r="C78" i="5"/>
  <c r="C14" i="9"/>
  <c r="C38" i="9"/>
  <c r="J57" i="5"/>
  <c r="I57" i="5"/>
  <c r="H38" i="5"/>
  <c r="H78" i="5" s="1"/>
  <c r="H37" i="5"/>
  <c r="H77" i="5" s="1"/>
  <c r="F8" i="5"/>
  <c r="I38" i="5" l="1"/>
  <c r="I78" i="5" s="1"/>
  <c r="I37" i="5"/>
  <c r="J38" i="5" l="1"/>
  <c r="K38" i="5" s="1"/>
  <c r="I47" i="5"/>
  <c r="J37" i="5"/>
  <c r="I77" i="5"/>
  <c r="I88" i="5" s="1"/>
  <c r="J78" i="5" l="1"/>
  <c r="K78" i="5"/>
  <c r="L38" i="5"/>
  <c r="L78" i="5" s="1"/>
  <c r="K37" i="5"/>
  <c r="J77" i="5"/>
  <c r="J88" i="5" s="1"/>
  <c r="J47" i="5"/>
  <c r="L37" i="5" l="1"/>
  <c r="L77" i="5" s="1"/>
  <c r="K77" i="5"/>
  <c r="K88" i="5" s="1"/>
  <c r="K47" i="5"/>
  <c r="E85" i="5" l="1"/>
  <c r="L88" i="5"/>
  <c r="H58" i="2" l="1"/>
  <c r="G37" i="5" s="1"/>
  <c r="H57" i="2"/>
  <c r="K68" i="5" l="1"/>
  <c r="K108" i="5"/>
  <c r="G77" i="5"/>
  <c r="H88" i="5" s="1"/>
  <c r="G38" i="5"/>
  <c r="H47" i="5"/>
  <c r="G78" i="5" l="1"/>
  <c r="H54" i="5"/>
  <c r="I54" i="5" s="1"/>
  <c r="J54" i="5" s="1"/>
  <c r="K54" i="5" s="1"/>
  <c r="H95" i="5" l="1"/>
  <c r="I95" i="5" l="1"/>
  <c r="H97" i="5"/>
  <c r="H18" i="2" a="1"/>
  <c r="H18" i="2" s="1"/>
  <c r="I18" i="2" a="1"/>
  <c r="I18" i="2" s="1"/>
  <c r="J18" i="2" a="1"/>
  <c r="J18" i="2" s="1"/>
  <c r="K18" i="2" a="1"/>
  <c r="K18" i="2" s="1"/>
  <c r="L18" i="2" a="1"/>
  <c r="L18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I8" i="2" a="1"/>
  <c r="I8" i="2" s="1"/>
  <c r="J8" i="2" a="1"/>
  <c r="J8" i="2" s="1"/>
  <c r="K8" i="2" a="1"/>
  <c r="K8" i="2" s="1"/>
  <c r="L8" i="2" a="1"/>
  <c r="L8" i="2" s="1"/>
  <c r="H8" i="2" a="1"/>
  <c r="H8" i="2" s="1"/>
  <c r="G150" i="4"/>
  <c r="H147" i="4" s="1"/>
  <c r="D129" i="4"/>
  <c r="D161" i="4"/>
  <c r="D160" i="4"/>
  <c r="J95" i="5" l="1"/>
  <c r="I97" i="5"/>
  <c r="D32" i="4"/>
  <c r="H33" i="4" s="1"/>
  <c r="H5" i="4"/>
  <c r="K95" i="5" l="1"/>
  <c r="J97" i="5"/>
  <c r="E5" i="4"/>
  <c r="F5" i="4"/>
  <c r="G5" i="4"/>
  <c r="I5" i="4"/>
  <c r="J5" i="4"/>
  <c r="K5" i="4"/>
  <c r="L5" i="4"/>
  <c r="E6" i="4"/>
  <c r="L95" i="5" l="1"/>
  <c r="K97" i="5"/>
  <c r="G91" i="1"/>
  <c r="G209" i="4"/>
  <c r="H207" i="4" s="1"/>
  <c r="H208" i="4" s="1"/>
  <c r="H91" i="1" s="1"/>
  <c r="G56" i="1"/>
  <c r="H56" i="1" s="1"/>
  <c r="I56" i="1" s="1"/>
  <c r="J56" i="1" s="1"/>
  <c r="K56" i="1" s="1"/>
  <c r="L56" i="1" s="1"/>
  <c r="F56" i="1"/>
  <c r="E56" i="1"/>
  <c r="G107" i="1"/>
  <c r="I94" i="1"/>
  <c r="I83" i="4" s="1"/>
  <c r="J94" i="1"/>
  <c r="J83" i="4" s="1"/>
  <c r="K94" i="1"/>
  <c r="K83" i="4" s="1"/>
  <c r="L94" i="1"/>
  <c r="L83" i="4" s="1"/>
  <c r="I95" i="1"/>
  <c r="I84" i="4" s="1"/>
  <c r="J95" i="1"/>
  <c r="J84" i="4" s="1"/>
  <c r="K95" i="1"/>
  <c r="K84" i="4" s="1"/>
  <c r="L95" i="1"/>
  <c r="L84" i="4" s="1"/>
  <c r="H95" i="1"/>
  <c r="H84" i="4" s="1"/>
  <c r="H94" i="1"/>
  <c r="H83" i="4" s="1"/>
  <c r="I41" i="1"/>
  <c r="J41" i="1"/>
  <c r="K41" i="1"/>
  <c r="L41" i="1"/>
  <c r="G197" i="4"/>
  <c r="H197" i="4" s="1"/>
  <c r="H201" i="4" s="1"/>
  <c r="G196" i="4"/>
  <c r="H196" i="4" s="1"/>
  <c r="I196" i="4" s="1"/>
  <c r="G194" i="4"/>
  <c r="H191" i="4" s="1"/>
  <c r="G188" i="4"/>
  <c r="H185" i="4" s="1"/>
  <c r="I181" i="4"/>
  <c r="J181" i="4"/>
  <c r="K181" i="4"/>
  <c r="L181" i="4"/>
  <c r="H181" i="4"/>
  <c r="G182" i="4"/>
  <c r="H180" i="4" s="1"/>
  <c r="H171" i="4"/>
  <c r="I171" i="4"/>
  <c r="J171" i="4"/>
  <c r="K171" i="4"/>
  <c r="L171" i="4"/>
  <c r="G172" i="4"/>
  <c r="H170" i="4" s="1"/>
  <c r="G167" i="4"/>
  <c r="H164" i="4" s="1"/>
  <c r="D98" i="4"/>
  <c r="G119" i="4"/>
  <c r="H116" i="4" s="1"/>
  <c r="G91" i="4"/>
  <c r="H89" i="4" s="1"/>
  <c r="H93" i="4" s="1"/>
  <c r="H209" i="4" l="1"/>
  <c r="J196" i="4"/>
  <c r="H182" i="4"/>
  <c r="I180" i="4" s="1"/>
  <c r="I182" i="4" s="1"/>
  <c r="H202" i="4"/>
  <c r="I197" i="4"/>
  <c r="J197" i="4" s="1"/>
  <c r="H198" i="4"/>
  <c r="H172" i="4"/>
  <c r="G32" i="8"/>
  <c r="F32" i="8"/>
  <c r="E32" i="8"/>
  <c r="E33" i="8" s="1"/>
  <c r="F31" i="8" s="1"/>
  <c r="E31" i="8"/>
  <c r="E10" i="8"/>
  <c r="F8" i="8" s="1"/>
  <c r="F10" i="8" s="1"/>
  <c r="G8" i="8" s="1"/>
  <c r="G10" i="8" s="1"/>
  <c r="E8" i="8"/>
  <c r="H71" i="4"/>
  <c r="H64" i="4" s="1"/>
  <c r="F6" i="4"/>
  <c r="G6" i="4"/>
  <c r="E10" i="4"/>
  <c r="E15" i="4" s="1"/>
  <c r="F10" i="4"/>
  <c r="G10" i="4"/>
  <c r="E11" i="4"/>
  <c r="E16" i="4" s="1"/>
  <c r="F11" i="4"/>
  <c r="G11" i="4"/>
  <c r="C33" i="4"/>
  <c r="I37" i="4"/>
  <c r="I46" i="4" s="1"/>
  <c r="J37" i="4"/>
  <c r="J46" i="4" s="1"/>
  <c r="K37" i="4"/>
  <c r="K46" i="4" s="1"/>
  <c r="I32" i="4"/>
  <c r="J32" i="4" s="1"/>
  <c r="K32" i="4" s="1"/>
  <c r="L32" i="4" s="1"/>
  <c r="D38" i="4"/>
  <c r="H38" i="4"/>
  <c r="I39" i="4" s="1"/>
  <c r="J40" i="4" s="1"/>
  <c r="K41" i="4" s="1"/>
  <c r="L42" i="4" s="1"/>
  <c r="D39" i="4"/>
  <c r="H39" i="4"/>
  <c r="I40" i="4" s="1"/>
  <c r="J41" i="4" s="1"/>
  <c r="K42" i="4" s="1"/>
  <c r="H40" i="4"/>
  <c r="I41" i="4" s="1"/>
  <c r="J42" i="4" s="1"/>
  <c r="H41" i="4"/>
  <c r="I42" i="4" s="1"/>
  <c r="H42" i="4"/>
  <c r="D4" i="6"/>
  <c r="H193" i="4" l="1"/>
  <c r="H4" i="8"/>
  <c r="E47" i="4" a="1"/>
  <c r="E47" i="4" s="1"/>
  <c r="I198" i="4"/>
  <c r="I192" i="4" s="1"/>
  <c r="H60" i="1"/>
  <c r="F33" i="8"/>
  <c r="G31" i="8" s="1"/>
  <c r="G33" i="8" s="1"/>
  <c r="J180" i="4"/>
  <c r="J182" i="4" s="1"/>
  <c r="I60" i="1"/>
  <c r="H192" i="4"/>
  <c r="J198" i="4"/>
  <c r="J192" i="4" s="1"/>
  <c r="G15" i="4"/>
  <c r="K196" i="4"/>
  <c r="L196" i="4" s="1"/>
  <c r="I201" i="4"/>
  <c r="I202" i="4" s="1"/>
  <c r="I170" i="4"/>
  <c r="I172" i="4" s="1"/>
  <c r="H54" i="1"/>
  <c r="H176" i="4"/>
  <c r="F15" i="4"/>
  <c r="F16" i="4"/>
  <c r="J4" i="8"/>
  <c r="I4" i="8"/>
  <c r="K4" i="8"/>
  <c r="I38" i="4"/>
  <c r="J39" i="4" s="1"/>
  <c r="K40" i="4" s="1"/>
  <c r="L41" i="4" s="1"/>
  <c r="L4" i="8"/>
  <c r="G16" i="4"/>
  <c r="I33" i="4"/>
  <c r="L37" i="4"/>
  <c r="L46" i="4" s="1"/>
  <c r="H37" i="4"/>
  <c r="H46" i="4" s="1"/>
  <c r="H194" i="4" l="1"/>
  <c r="I191" i="4" s="1"/>
  <c r="I193" i="4"/>
  <c r="I176" i="4"/>
  <c r="I54" i="1"/>
  <c r="K180" i="4"/>
  <c r="K182" i="4" s="1"/>
  <c r="J60" i="1"/>
  <c r="J201" i="4"/>
  <c r="J202" i="4" s="1"/>
  <c r="K197" i="4"/>
  <c r="L197" i="4" s="1"/>
  <c r="L201" i="4" s="1"/>
  <c r="L202" i="4" s="1"/>
  <c r="J170" i="4"/>
  <c r="J33" i="4"/>
  <c r="J38" i="4"/>
  <c r="K38" i="4" s="1"/>
  <c r="L39" i="4" s="1"/>
  <c r="H62" i="1" l="1"/>
  <c r="I194" i="4"/>
  <c r="J191" i="4"/>
  <c r="I62" i="1"/>
  <c r="L193" i="4"/>
  <c r="L180" i="4"/>
  <c r="L182" i="4" s="1"/>
  <c r="L60" i="1" s="1"/>
  <c r="K60" i="1"/>
  <c r="J193" i="4"/>
  <c r="J194" i="4" s="1"/>
  <c r="J62" i="1" s="1"/>
  <c r="K201" i="4"/>
  <c r="K202" i="4" s="1"/>
  <c r="K198" i="4"/>
  <c r="J172" i="4"/>
  <c r="L38" i="4"/>
  <c r="K39" i="4"/>
  <c r="L40" i="4" s="1"/>
  <c r="K33" i="4"/>
  <c r="K193" i="4" l="1"/>
  <c r="K191" i="4"/>
  <c r="K192" i="4"/>
  <c r="K170" i="4"/>
  <c r="J54" i="1"/>
  <c r="L198" i="4"/>
  <c r="J176" i="4"/>
  <c r="K172" i="4"/>
  <c r="K176" i="4" s="1"/>
  <c r="L33" i="4"/>
  <c r="K194" i="4" l="1"/>
  <c r="L191" i="4" s="1"/>
  <c r="L192" i="4"/>
  <c r="L170" i="4"/>
  <c r="L172" i="4" s="1"/>
  <c r="K54" i="1"/>
  <c r="H41" i="1"/>
  <c r="H40" i="1"/>
  <c r="I40" i="1" s="1"/>
  <c r="J40" i="1" s="1"/>
  <c r="K40" i="1" s="1"/>
  <c r="L40" i="1" s="1"/>
  <c r="D41" i="1"/>
  <c r="D5" i="6"/>
  <c r="K62" i="1" l="1"/>
  <c r="L194" i="4"/>
  <c r="L62" i="1" s="1"/>
  <c r="L176" i="4"/>
  <c r="L54" i="1"/>
  <c r="H9" i="1"/>
  <c r="H10" i="1"/>
  <c r="T18" i="10" s="1"/>
  <c r="H13" i="2" a="1"/>
  <c r="H13" i="2" s="1"/>
  <c r="H5" i="1"/>
  <c r="B15" i="2"/>
  <c r="B20" i="2" s="1"/>
  <c r="B25" i="2" s="1"/>
  <c r="B30" i="2" s="1"/>
  <c r="B35" i="2" s="1"/>
  <c r="B40" i="2" s="1"/>
  <c r="B45" i="2" s="1"/>
  <c r="B16" i="2"/>
  <c r="B21" i="2" s="1"/>
  <c r="B26" i="2" s="1"/>
  <c r="B31" i="2" s="1"/>
  <c r="B36" i="2" s="1"/>
  <c r="B41" i="2" s="1"/>
  <c r="B46" i="2" s="1"/>
  <c r="B14" i="2"/>
  <c r="B19" i="2" s="1"/>
  <c r="B24" i="2" s="1"/>
  <c r="B29" i="2" s="1"/>
  <c r="B34" i="2" s="1"/>
  <c r="B39" i="2" s="1"/>
  <c r="B44" i="2" s="1"/>
  <c r="L23" i="4"/>
  <c r="K23" i="4"/>
  <c r="J23" i="4"/>
  <c r="I23" i="4"/>
  <c r="H23" i="4"/>
  <c r="L28" i="2" a="1"/>
  <c r="L28" i="2" s="1"/>
  <c r="L22" i="4" s="1"/>
  <c r="K28" i="2" a="1"/>
  <c r="K28" i="2" s="1"/>
  <c r="K22" i="4" s="1"/>
  <c r="J28" i="2" a="1"/>
  <c r="J28" i="2" s="1"/>
  <c r="J22" i="4" s="1"/>
  <c r="I28" i="2" a="1"/>
  <c r="I28" i="2" s="1"/>
  <c r="I22" i="4" s="1"/>
  <c r="H28" i="2" a="1"/>
  <c r="H28" i="2" s="1"/>
  <c r="H22" i="4" s="1"/>
  <c r="L23" i="2" a="1"/>
  <c r="L23" i="2" s="1"/>
  <c r="L21" i="4" s="1"/>
  <c r="K23" i="2" a="1"/>
  <c r="K23" i="2" s="1"/>
  <c r="K21" i="4" s="1"/>
  <c r="J23" i="2" a="1"/>
  <c r="J23" i="2" s="1"/>
  <c r="J21" i="4" s="1"/>
  <c r="I23" i="2" a="1"/>
  <c r="I23" i="2" s="1"/>
  <c r="I21" i="4" s="1"/>
  <c r="H23" i="2" a="1"/>
  <c r="H23" i="2" s="1"/>
  <c r="H21" i="4" s="1"/>
  <c r="L13" i="2" a="1"/>
  <c r="L13" i="2" s="1"/>
  <c r="K13" i="2" a="1"/>
  <c r="K13" i="2" s="1"/>
  <c r="J13" i="2" a="1"/>
  <c r="J13" i="2" s="1"/>
  <c r="I13" i="2" a="1"/>
  <c r="I13" i="2" s="1"/>
  <c r="I9" i="1" l="1"/>
  <c r="U17" i="10" s="1"/>
  <c r="T17" i="10"/>
  <c r="H16" i="1"/>
  <c r="T6" i="10"/>
  <c r="T10" i="10" s="1"/>
  <c r="H49" i="1"/>
  <c r="I10" i="1"/>
  <c r="H36" i="1"/>
  <c r="H41" i="2"/>
  <c r="H6" i="4"/>
  <c r="H10" i="4" s="1"/>
  <c r="H15" i="4" s="1"/>
  <c r="I5" i="1"/>
  <c r="H39" i="2"/>
  <c r="H40" i="2"/>
  <c r="J9" i="1"/>
  <c r="G75" i="1"/>
  <c r="E16" i="1"/>
  <c r="F16" i="1"/>
  <c r="G16" i="1"/>
  <c r="C3" i="1"/>
  <c r="C29" i="1" s="1"/>
  <c r="C68" i="1" s="1"/>
  <c r="D3" i="1"/>
  <c r="D29" i="1" s="1"/>
  <c r="D68" i="1" s="1"/>
  <c r="E3" i="1"/>
  <c r="F3" i="1"/>
  <c r="G3" i="1"/>
  <c r="H3" i="1"/>
  <c r="H29" i="1" s="1"/>
  <c r="H68" i="1" s="1"/>
  <c r="H106" i="1" s="1"/>
  <c r="I3" i="1"/>
  <c r="I29" i="1" s="1"/>
  <c r="I68" i="1" s="1"/>
  <c r="I106" i="1" s="1"/>
  <c r="J3" i="1"/>
  <c r="J29" i="1" s="1"/>
  <c r="J68" i="1" s="1"/>
  <c r="J106" i="1" s="1"/>
  <c r="K3" i="1"/>
  <c r="K29" i="1" s="1"/>
  <c r="K68" i="1" s="1"/>
  <c r="K106" i="1" s="1"/>
  <c r="L3" i="1"/>
  <c r="L29" i="1" s="1"/>
  <c r="L68" i="1" s="1"/>
  <c r="L106" i="1" s="1"/>
  <c r="G29" i="1" l="1"/>
  <c r="G68" i="1" s="1"/>
  <c r="G106" i="1" s="1"/>
  <c r="F29" i="1"/>
  <c r="F68" i="1" s="1"/>
  <c r="F106" i="1" s="1"/>
  <c r="E29" i="1"/>
  <c r="E68" i="1" s="1"/>
  <c r="E106" i="1" s="1"/>
  <c r="K9" i="1"/>
  <c r="V17" i="10"/>
  <c r="I16" i="1"/>
  <c r="U6" i="10"/>
  <c r="U10" i="10" s="1"/>
  <c r="J10" i="1"/>
  <c r="U18" i="10"/>
  <c r="H21" i="5"/>
  <c r="T20" i="10"/>
  <c r="H38" i="2" a="1"/>
  <c r="H38" i="2" s="1"/>
  <c r="H14" i="5" s="1"/>
  <c r="H26" i="5" s="1"/>
  <c r="I6" i="4"/>
  <c r="I10" i="4" s="1"/>
  <c r="I36" i="1"/>
  <c r="I49" i="1"/>
  <c r="I74" i="1" s="1"/>
  <c r="J5" i="1"/>
  <c r="I40" i="2"/>
  <c r="I41" i="2"/>
  <c r="I39" i="2"/>
  <c r="H34" i="1"/>
  <c r="G109" i="1"/>
  <c r="G77" i="1"/>
  <c r="E77" i="1"/>
  <c r="F77" i="1"/>
  <c r="E75" i="1"/>
  <c r="F107" i="1"/>
  <c r="F109" i="1" s="1"/>
  <c r="G72" i="1"/>
  <c r="F75" i="1"/>
  <c r="F86" i="1"/>
  <c r="E32" i="1"/>
  <c r="E107" i="1" s="1"/>
  <c r="E109" i="1" s="1"/>
  <c r="E86" i="1"/>
  <c r="E92" i="1"/>
  <c r="E93" i="1"/>
  <c r="E99" i="1"/>
  <c r="G96" i="1"/>
  <c r="F91" i="1"/>
  <c r="F90" i="1"/>
  <c r="G86" i="1"/>
  <c r="G85" i="1"/>
  <c r="G84" i="1"/>
  <c r="F85" i="1"/>
  <c r="F84" i="1"/>
  <c r="E84" i="1"/>
  <c r="E91" i="1"/>
  <c r="E90" i="1"/>
  <c r="E85" i="1"/>
  <c r="E36" i="1"/>
  <c r="E42" i="1"/>
  <c r="D56" i="1"/>
  <c r="D49" i="1"/>
  <c r="E49" i="1"/>
  <c r="E41" i="1"/>
  <c r="D36" i="1"/>
  <c r="F72" i="1"/>
  <c r="E72" i="1"/>
  <c r="E6" i="1"/>
  <c r="E7" i="4" s="1"/>
  <c r="G49" i="1"/>
  <c r="H74" i="1" s="1"/>
  <c r="G47" i="1"/>
  <c r="F23" i="1"/>
  <c r="E23" i="1"/>
  <c r="G36" i="1"/>
  <c r="G37" i="1" s="1"/>
  <c r="G41" i="1"/>
  <c r="F41" i="1"/>
  <c r="G42" i="1"/>
  <c r="D33" i="4" s="1"/>
  <c r="I54" i="4" s="1"/>
  <c r="G63" i="1"/>
  <c r="F63" i="1"/>
  <c r="E63" i="1"/>
  <c r="E47" i="1"/>
  <c r="F47" i="1"/>
  <c r="F49" i="1"/>
  <c r="F36" i="1"/>
  <c r="F42" i="1"/>
  <c r="L9" i="1" l="1"/>
  <c r="X17" i="10" s="1"/>
  <c r="W17" i="10"/>
  <c r="I21" i="5"/>
  <c r="U20" i="10"/>
  <c r="J16" i="1"/>
  <c r="V6" i="10"/>
  <c r="V10" i="10" s="1"/>
  <c r="K10" i="1"/>
  <c r="V18" i="10"/>
  <c r="H70" i="4"/>
  <c r="I71" i="4" s="1"/>
  <c r="I64" i="4" s="1"/>
  <c r="H84" i="1"/>
  <c r="H87" i="1" s="1"/>
  <c r="H165" i="4"/>
  <c r="H166" i="4" s="1"/>
  <c r="H138" i="4" s="1"/>
  <c r="H28" i="4"/>
  <c r="F47" i="4" s="1"/>
  <c r="G47" i="4" s="1"/>
  <c r="H47" i="4" s="1"/>
  <c r="H63" i="4"/>
  <c r="I38" i="2" a="1"/>
  <c r="I38" i="2" s="1"/>
  <c r="I14" i="5" s="1"/>
  <c r="I26" i="5" s="1"/>
  <c r="G12" i="4"/>
  <c r="G51" i="1"/>
  <c r="G57" i="1" s="1"/>
  <c r="G65" i="1" s="1"/>
  <c r="F12" i="4"/>
  <c r="F51" i="1"/>
  <c r="F57" i="1" s="1"/>
  <c r="F65" i="1" s="1"/>
  <c r="E51" i="1"/>
  <c r="E57" i="1" s="1"/>
  <c r="E65" i="1" s="1"/>
  <c r="H78" i="1"/>
  <c r="J6" i="4"/>
  <c r="J10" i="4" s="1"/>
  <c r="J36" i="1"/>
  <c r="J49" i="1"/>
  <c r="J74" i="1" s="1"/>
  <c r="J39" i="2"/>
  <c r="J41" i="2"/>
  <c r="K5" i="1"/>
  <c r="J40" i="2"/>
  <c r="I34" i="1"/>
  <c r="I15" i="4"/>
  <c r="I78" i="1" s="1"/>
  <c r="G87" i="1"/>
  <c r="E12" i="4"/>
  <c r="E17" i="4" s="1"/>
  <c r="E18" i="4" s="1"/>
  <c r="G43" i="1"/>
  <c r="G66" i="4"/>
  <c r="H62" i="4" s="1"/>
  <c r="G79" i="1"/>
  <c r="E7" i="1"/>
  <c r="E11" i="1" s="1"/>
  <c r="E14" i="1" s="1"/>
  <c r="E19" i="1" s="1"/>
  <c r="E79" i="1"/>
  <c r="F87" i="1"/>
  <c r="G78" i="1"/>
  <c r="F78" i="1"/>
  <c r="E87" i="1"/>
  <c r="E96" i="1"/>
  <c r="F79" i="1"/>
  <c r="F37" i="1"/>
  <c r="F43" i="1" s="1"/>
  <c r="E37" i="1"/>
  <c r="E43" i="1" s="1"/>
  <c r="K16" i="1" l="1"/>
  <c r="W6" i="10"/>
  <c r="W10" i="10" s="1"/>
  <c r="H82" i="4"/>
  <c r="T26" i="10"/>
  <c r="L10" i="1"/>
  <c r="X18" i="10" s="1"/>
  <c r="W18" i="10"/>
  <c r="J21" i="5"/>
  <c r="V20" i="10"/>
  <c r="H167" i="4"/>
  <c r="I164" i="4" s="1"/>
  <c r="H107" i="4"/>
  <c r="J47" i="4"/>
  <c r="K47" i="4"/>
  <c r="I47" i="4"/>
  <c r="L47" i="4"/>
  <c r="J38" i="2" a="1"/>
  <c r="J38" i="2" s="1"/>
  <c r="J14" i="5" s="1"/>
  <c r="J26" i="5" s="1"/>
  <c r="I70" i="4"/>
  <c r="J71" i="4" s="1"/>
  <c r="J64" i="4" s="1"/>
  <c r="G17" i="4"/>
  <c r="G18" i="4" s="1"/>
  <c r="I63" i="4"/>
  <c r="I28" i="4"/>
  <c r="F48" i="4" s="1"/>
  <c r="G48" i="4" s="1"/>
  <c r="I165" i="4"/>
  <c r="I84" i="1"/>
  <c r="I87" i="1" s="1"/>
  <c r="J15" i="4"/>
  <c r="J78" i="1" s="1"/>
  <c r="J34" i="1"/>
  <c r="K6" i="4"/>
  <c r="K10" i="4" s="1"/>
  <c r="K36" i="1"/>
  <c r="K49" i="1"/>
  <c r="K74" i="1" s="1"/>
  <c r="K41" i="2"/>
  <c r="K39" i="2"/>
  <c r="L5" i="1"/>
  <c r="K40" i="2"/>
  <c r="G72" i="4"/>
  <c r="H69" i="4" s="1"/>
  <c r="H72" i="4" s="1"/>
  <c r="I69" i="4" s="1"/>
  <c r="H54" i="4"/>
  <c r="J54" i="4"/>
  <c r="K54" i="4"/>
  <c r="L54" i="4"/>
  <c r="E80" i="1"/>
  <c r="F17" i="4"/>
  <c r="E78" i="1"/>
  <c r="I82" i="4" l="1"/>
  <c r="U26" i="10"/>
  <c r="L16" i="1"/>
  <c r="X6" i="10"/>
  <c r="X10" i="10" s="1"/>
  <c r="K21" i="5"/>
  <c r="W20" i="10"/>
  <c r="K38" i="2" a="1"/>
  <c r="K38" i="2" s="1"/>
  <c r="K14" i="5" s="1"/>
  <c r="K26" i="5" s="1"/>
  <c r="I72" i="4"/>
  <c r="J69" i="4" s="1"/>
  <c r="J165" i="4"/>
  <c r="G80" i="1"/>
  <c r="G76" i="1" s="1"/>
  <c r="I166" i="4"/>
  <c r="H48" i="4"/>
  <c r="I48" i="4"/>
  <c r="J48" i="4"/>
  <c r="L48" i="4"/>
  <c r="K48" i="4"/>
  <c r="J70" i="4"/>
  <c r="K71" i="4" s="1"/>
  <c r="K64" i="4" s="1"/>
  <c r="J28" i="4"/>
  <c r="F49" i="4" s="1"/>
  <c r="G49" i="4" s="1"/>
  <c r="J49" i="4" s="1"/>
  <c r="J63" i="4"/>
  <c r="J84" i="1"/>
  <c r="J87" i="1" s="1"/>
  <c r="K15" i="4"/>
  <c r="K78" i="1" s="1"/>
  <c r="K34" i="1"/>
  <c r="L6" i="4"/>
  <c r="L10" i="4" s="1"/>
  <c r="L36" i="1"/>
  <c r="L49" i="1"/>
  <c r="L74" i="1" s="1"/>
  <c r="L39" i="2"/>
  <c r="L40" i="2"/>
  <c r="L41" i="2"/>
  <c r="E76" i="1"/>
  <c r="F18" i="4"/>
  <c r="F80" i="1"/>
  <c r="F76" i="1" s="1"/>
  <c r="F96" i="1"/>
  <c r="J82" i="4" l="1"/>
  <c r="V26" i="10"/>
  <c r="L21" i="5"/>
  <c r="X20" i="10"/>
  <c r="L38" i="2" a="1"/>
  <c r="L38" i="2" s="1"/>
  <c r="L14" i="5" s="1"/>
  <c r="L26" i="5" s="1"/>
  <c r="I107" i="4"/>
  <c r="I138" i="4"/>
  <c r="K165" i="4"/>
  <c r="I167" i="4"/>
  <c r="J164" i="4" s="1"/>
  <c r="J166" i="4" s="1"/>
  <c r="K70" i="4"/>
  <c r="L71" i="4" s="1"/>
  <c r="L64" i="4" s="1"/>
  <c r="K28" i="4"/>
  <c r="F50" i="4" s="1"/>
  <c r="G50" i="4" s="1"/>
  <c r="K63" i="4"/>
  <c r="K84" i="1"/>
  <c r="K87" i="1" s="1"/>
  <c r="H49" i="4"/>
  <c r="K49" i="4"/>
  <c r="L49" i="4"/>
  <c r="I49" i="4"/>
  <c r="J72" i="4"/>
  <c r="K69" i="4" s="1"/>
  <c r="L15" i="4"/>
  <c r="L78" i="1" s="1"/>
  <c r="L34" i="1"/>
  <c r="G23" i="1"/>
  <c r="F6" i="1"/>
  <c r="F7" i="4" s="1"/>
  <c r="G6" i="1"/>
  <c r="K82" i="4" l="1"/>
  <c r="W26" i="10"/>
  <c r="J107" i="4"/>
  <c r="J138" i="4"/>
  <c r="L84" i="1"/>
  <c r="L87" i="1" s="1"/>
  <c r="K72" i="4"/>
  <c r="L69" i="4" s="1"/>
  <c r="J167" i="4"/>
  <c r="K164" i="4" s="1"/>
  <c r="H50" i="4"/>
  <c r="L50" i="4"/>
  <c r="J50" i="4"/>
  <c r="K50" i="4"/>
  <c r="I50" i="4"/>
  <c r="G7" i="4"/>
  <c r="H6" i="1"/>
  <c r="T16" i="10" s="1"/>
  <c r="L165" i="4"/>
  <c r="L70" i="4"/>
  <c r="L63" i="4"/>
  <c r="L28" i="4"/>
  <c r="F7" i="1"/>
  <c r="G7" i="1"/>
  <c r="G11" i="1" s="1"/>
  <c r="G14" i="1" s="1"/>
  <c r="G19" i="1" s="1"/>
  <c r="G25" i="1" s="1"/>
  <c r="E25" i="1"/>
  <c r="E71" i="1" s="1"/>
  <c r="L82" i="4" l="1"/>
  <c r="X26" i="10"/>
  <c r="L72" i="4"/>
  <c r="K166" i="4"/>
  <c r="H7" i="4"/>
  <c r="H7" i="1"/>
  <c r="F51" i="4"/>
  <c r="G51" i="4" s="1"/>
  <c r="I6" i="1"/>
  <c r="G71" i="1"/>
  <c r="G81" i="1" s="1"/>
  <c r="G100" i="1" s="1"/>
  <c r="F11" i="1"/>
  <c r="F14" i="1" s="1"/>
  <c r="F19" i="1" s="1"/>
  <c r="F25" i="1" s="1"/>
  <c r="F71" i="1" s="1"/>
  <c r="E81" i="1"/>
  <c r="E100" i="1" s="1"/>
  <c r="I7" i="4" l="1"/>
  <c r="I11" i="4" s="1"/>
  <c r="I35" i="1" s="1"/>
  <c r="U16" i="10"/>
  <c r="H11" i="1"/>
  <c r="H12" i="5" s="1"/>
  <c r="K107" i="4"/>
  <c r="K138" i="4"/>
  <c r="K167" i="4"/>
  <c r="L164" i="4" s="1"/>
  <c r="H51" i="4"/>
  <c r="H55" i="4" s="1"/>
  <c r="H56" i="4" s="1"/>
  <c r="J51" i="4"/>
  <c r="I51" i="4"/>
  <c r="L51" i="4"/>
  <c r="L55" i="4" s="1"/>
  <c r="L56" i="4" s="1"/>
  <c r="K51" i="4"/>
  <c r="K55" i="4" s="1"/>
  <c r="K56" i="4" s="1"/>
  <c r="K13" i="1" s="1"/>
  <c r="H12" i="4"/>
  <c r="H17" i="4" s="1"/>
  <c r="H11" i="4"/>
  <c r="H16" i="4" s="1"/>
  <c r="H79" i="1" s="1"/>
  <c r="J6" i="1"/>
  <c r="I7" i="1"/>
  <c r="I11" i="1" s="1"/>
  <c r="I12" i="5" s="1"/>
  <c r="E102" i="1"/>
  <c r="I12" i="4" l="1"/>
  <c r="I17" i="4" s="1"/>
  <c r="I80" i="1" s="1"/>
  <c r="K22" i="5"/>
  <c r="W19" i="10"/>
  <c r="J7" i="4"/>
  <c r="J12" i="4" s="1"/>
  <c r="V16" i="10"/>
  <c r="K137" i="4"/>
  <c r="K73" i="1"/>
  <c r="K106" i="4"/>
  <c r="K65" i="4"/>
  <c r="H18" i="4"/>
  <c r="H15" i="5" s="1"/>
  <c r="H27" i="5" s="1"/>
  <c r="L166" i="4"/>
  <c r="I16" i="4"/>
  <c r="I79" i="1" s="1"/>
  <c r="L65" i="4"/>
  <c r="L13" i="1"/>
  <c r="I55" i="4"/>
  <c r="I56" i="4" s="1"/>
  <c r="H47" i="1"/>
  <c r="J55" i="4"/>
  <c r="J56" i="4" s="1"/>
  <c r="H65" i="4"/>
  <c r="H66" i="4" s="1"/>
  <c r="H13" i="1"/>
  <c r="H80" i="1"/>
  <c r="H35" i="1"/>
  <c r="K6" i="1"/>
  <c r="J7" i="1"/>
  <c r="J11" i="1" s="1"/>
  <c r="J12" i="5" s="1"/>
  <c r="F99" i="1"/>
  <c r="J11" i="4" l="1"/>
  <c r="I47" i="1"/>
  <c r="H22" i="5"/>
  <c r="T19" i="10"/>
  <c r="T21" i="10" s="1"/>
  <c r="K7" i="4"/>
  <c r="W16" i="10"/>
  <c r="W21" i="10" s="1"/>
  <c r="L22" i="5"/>
  <c r="X19" i="10"/>
  <c r="H14" i="1"/>
  <c r="L106" i="4"/>
  <c r="L137" i="4"/>
  <c r="L107" i="4"/>
  <c r="L138" i="4"/>
  <c r="H137" i="4"/>
  <c r="L167" i="4"/>
  <c r="J13" i="1"/>
  <c r="J65" i="4"/>
  <c r="I65" i="4"/>
  <c r="I13" i="1"/>
  <c r="H73" i="1"/>
  <c r="H106" i="4"/>
  <c r="I62" i="4"/>
  <c r="H74" i="4"/>
  <c r="H42" i="1" s="1"/>
  <c r="L73" i="1"/>
  <c r="J16" i="4"/>
  <c r="J79" i="1" s="1"/>
  <c r="J35" i="1"/>
  <c r="J17" i="4"/>
  <c r="J80" i="1" s="1"/>
  <c r="J47" i="1"/>
  <c r="I18" i="4"/>
  <c r="I15" i="5" s="1"/>
  <c r="I27" i="5" s="1"/>
  <c r="K11" i="4"/>
  <c r="K12" i="4"/>
  <c r="L6" i="1"/>
  <c r="K7" i="1"/>
  <c r="K11" i="1" s="1"/>
  <c r="K12" i="5" s="1"/>
  <c r="F6" i="5" l="1"/>
  <c r="L7" i="4"/>
  <c r="L12" i="4" s="1"/>
  <c r="X16" i="10"/>
  <c r="X21" i="10" s="1"/>
  <c r="I22" i="5"/>
  <c r="U19" i="10"/>
  <c r="U21" i="10" s="1"/>
  <c r="J22" i="5"/>
  <c r="V19" i="10"/>
  <c r="V21" i="10" s="1"/>
  <c r="J14" i="1"/>
  <c r="K14" i="1"/>
  <c r="H132" i="4"/>
  <c r="H136" i="4" s="1"/>
  <c r="H155" i="4" s="1"/>
  <c r="I14" i="1"/>
  <c r="I106" i="4"/>
  <c r="I137" i="4"/>
  <c r="J106" i="4"/>
  <c r="J137" i="4"/>
  <c r="I66" i="4"/>
  <c r="I74" i="4" s="1"/>
  <c r="I42" i="1" s="1"/>
  <c r="I73" i="1"/>
  <c r="J73" i="1"/>
  <c r="K17" i="4"/>
  <c r="K80" i="1" s="1"/>
  <c r="K47" i="1"/>
  <c r="K16" i="4"/>
  <c r="K79" i="1" s="1"/>
  <c r="K35" i="1"/>
  <c r="J18" i="4"/>
  <c r="J15" i="5" s="1"/>
  <c r="J27" i="5" s="1"/>
  <c r="L7" i="1"/>
  <c r="L11" i="1" s="1"/>
  <c r="L12" i="5" s="1"/>
  <c r="I132" i="4" l="1"/>
  <c r="K132" i="4"/>
  <c r="J132" i="4"/>
  <c r="L11" i="4"/>
  <c r="L16" i="4" s="1"/>
  <c r="L79" i="1" s="1"/>
  <c r="L81" i="5"/>
  <c r="L14" i="1"/>
  <c r="H148" i="4"/>
  <c r="H139" i="4"/>
  <c r="H133" i="4" s="1"/>
  <c r="J62" i="4"/>
  <c r="J66" i="4" s="1"/>
  <c r="K62" i="4" s="1"/>
  <c r="K66" i="4" s="1"/>
  <c r="K18" i="4"/>
  <c r="K15" i="5" s="1"/>
  <c r="K27" i="5" s="1"/>
  <c r="L17" i="4"/>
  <c r="L80" i="1" s="1"/>
  <c r="L47" i="1"/>
  <c r="L132" i="4" l="1"/>
  <c r="L35" i="1"/>
  <c r="H142" i="4"/>
  <c r="J74" i="4"/>
  <c r="J42" i="1" s="1"/>
  <c r="K74" i="4"/>
  <c r="K42" i="1" s="1"/>
  <c r="L62" i="4"/>
  <c r="L66" i="4" s="1"/>
  <c r="L74" i="4" s="1"/>
  <c r="L42" i="1" s="1"/>
  <c r="L18" i="4"/>
  <c r="L15" i="5" s="1"/>
  <c r="L27" i="5" s="1"/>
  <c r="H149" i="4" l="1"/>
  <c r="H55" i="1"/>
  <c r="H143" i="4" l="1"/>
  <c r="H144" i="4" s="1"/>
  <c r="H153" i="4" s="1"/>
  <c r="H6" i="5" s="1"/>
  <c r="H150" i="4"/>
  <c r="I147" i="4" s="1"/>
  <c r="I207" i="4"/>
  <c r="I208" i="4" s="1"/>
  <c r="H13" i="5" l="1"/>
  <c r="H16" i="5" s="1"/>
  <c r="H154" i="4"/>
  <c r="I91" i="1"/>
  <c r="I209" i="4" l="1"/>
  <c r="J207" i="4" s="1"/>
  <c r="J208" i="4" s="1"/>
  <c r="J91" i="1" l="1"/>
  <c r="I55" i="1"/>
  <c r="I136" i="4" s="1"/>
  <c r="I155" i="4" s="1"/>
  <c r="I139" i="4" l="1"/>
  <c r="I148" i="4"/>
  <c r="J209" i="4"/>
  <c r="I133" i="4" l="1"/>
  <c r="I142" i="4"/>
  <c r="J55" i="1"/>
  <c r="J136" i="4" s="1"/>
  <c r="J155" i="4" s="1"/>
  <c r="K207" i="4"/>
  <c r="K208" i="4" s="1"/>
  <c r="I149" i="4" l="1"/>
  <c r="I143" i="4" s="1"/>
  <c r="I144" i="4" s="1"/>
  <c r="J148" i="4"/>
  <c r="J139" i="4"/>
  <c r="K91" i="1"/>
  <c r="I153" i="4" l="1"/>
  <c r="I6" i="5" s="1"/>
  <c r="I150" i="4"/>
  <c r="J147" i="4" s="1"/>
  <c r="J142" i="4"/>
  <c r="J133" i="4"/>
  <c r="K209" i="4"/>
  <c r="I13" i="5" l="1"/>
  <c r="I16" i="5" s="1"/>
  <c r="I154" i="4"/>
  <c r="J149" i="4"/>
  <c r="L207" i="4"/>
  <c r="L208" i="4" s="1"/>
  <c r="K55" i="1"/>
  <c r="K136" i="4" s="1"/>
  <c r="K155" i="4" s="1"/>
  <c r="K139" i="4" l="1"/>
  <c r="K148" i="4"/>
  <c r="J143" i="4"/>
  <c r="J144" i="4" s="1"/>
  <c r="J150" i="4"/>
  <c r="K147" i="4" s="1"/>
  <c r="L91" i="1"/>
  <c r="J153" i="4" l="1"/>
  <c r="J6" i="5" s="1"/>
  <c r="K142" i="4"/>
  <c r="K133" i="4"/>
  <c r="L209" i="4"/>
  <c r="L55" i="1" s="1"/>
  <c r="L136" i="4" s="1"/>
  <c r="L155" i="4" s="1"/>
  <c r="J13" i="5" l="1"/>
  <c r="J16" i="5" s="1"/>
  <c r="J154" i="4"/>
  <c r="K149" i="4"/>
  <c r="K143" i="4" s="1"/>
  <c r="K144" i="4" s="1"/>
  <c r="L139" i="4"/>
  <c r="L148" i="4"/>
  <c r="F81" i="1"/>
  <c r="F100" i="1" s="1"/>
  <c r="F102" i="1" s="1"/>
  <c r="K153" i="4" l="1"/>
  <c r="K6" i="5" s="1"/>
  <c r="K150" i="4"/>
  <c r="L147" i="4" s="1"/>
  <c r="L133" i="4"/>
  <c r="L142" i="4"/>
  <c r="G99" i="1"/>
  <c r="G102" i="1" s="1"/>
  <c r="K13" i="5" l="1"/>
  <c r="K16" i="5" s="1"/>
  <c r="K154" i="4"/>
  <c r="L149" i="4"/>
  <c r="L143" i="4" s="1"/>
  <c r="L144" i="4" s="1"/>
  <c r="H99" i="1"/>
  <c r="L150" i="4" l="1"/>
  <c r="D130" i="4" s="1"/>
  <c r="L153" i="4"/>
  <c r="L6" i="5" s="1"/>
  <c r="H80" i="4"/>
  <c r="L13" i="5" l="1"/>
  <c r="L16" i="5" s="1"/>
  <c r="L154" i="4"/>
  <c r="H175" i="4"/>
  <c r="H177" i="4" s="1"/>
  <c r="H18" i="1" l="1"/>
  <c r="H17" i="1"/>
  <c r="H24" i="5" s="1"/>
  <c r="H19" i="1" l="1"/>
  <c r="F7" i="5" s="1"/>
  <c r="H101" i="4" l="1"/>
  <c r="H105" i="4" s="1"/>
  <c r="H108" i="4" s="1"/>
  <c r="H102" i="4" s="1"/>
  <c r="H117" i="4" l="1"/>
  <c r="H124" i="4"/>
  <c r="H111" i="4"/>
  <c r="H118" i="4" s="1"/>
  <c r="H112" i="4" s="1"/>
  <c r="H113" i="4" s="1"/>
  <c r="H122" i="4" s="1"/>
  <c r="H7" i="5" s="1"/>
  <c r="H8" i="5" s="1"/>
  <c r="H25" i="5" s="1"/>
  <c r="H21" i="1" l="1"/>
  <c r="H123" i="4"/>
  <c r="H22" i="1" s="1"/>
  <c r="H23" i="5" s="1"/>
  <c r="H119" i="4"/>
  <c r="I116" i="4" s="1"/>
  <c r="H23" i="1" l="1"/>
  <c r="H25" i="1" s="1"/>
  <c r="H72" i="1"/>
  <c r="H53" i="1"/>
  <c r="H20" i="5" l="1"/>
  <c r="H28" i="5" s="1"/>
  <c r="H71" i="1"/>
  <c r="H81" i="1" s="1"/>
  <c r="H186" i="4"/>
  <c r="H187" i="4" s="1"/>
  <c r="H93" i="1" s="1"/>
  <c r="H80" i="5" l="1"/>
  <c r="H83" i="5" s="1"/>
  <c r="H90" i="5" s="1"/>
  <c r="H30" i="5"/>
  <c r="H40" i="5"/>
  <c r="H42" i="5" s="1"/>
  <c r="H44" i="5" s="1"/>
  <c r="H81" i="4"/>
  <c r="T25" i="10"/>
  <c r="H188" i="4"/>
  <c r="I185" i="4" s="1"/>
  <c r="H85" i="4"/>
  <c r="H86" i="4" s="1"/>
  <c r="H90" i="4" s="1"/>
  <c r="H91" i="4" s="1"/>
  <c r="H96" i="1"/>
  <c r="H49" i="5" l="1"/>
  <c r="H51" i="5" s="1"/>
  <c r="H85" i="5"/>
  <c r="H100" i="1"/>
  <c r="H102" i="1" s="1"/>
  <c r="I99" i="1" s="1"/>
  <c r="I80" i="4" s="1"/>
  <c r="T27" i="10"/>
  <c r="H92" i="5"/>
  <c r="H61" i="1"/>
  <c r="H48" i="1"/>
  <c r="I89" i="4"/>
  <c r="I93" i="4" s="1"/>
  <c r="I175" i="4" s="1"/>
  <c r="I177" i="4" s="1"/>
  <c r="I18" i="1" s="1"/>
  <c r="H32" i="1" l="1"/>
  <c r="H107" i="1" s="1"/>
  <c r="H109" i="1" s="1"/>
  <c r="T28" i="10"/>
  <c r="H63" i="1"/>
  <c r="T11" i="10"/>
  <c r="T12" i="10"/>
  <c r="I17" i="1"/>
  <c r="I24" i="5" s="1"/>
  <c r="H37" i="1" l="1"/>
  <c r="H43" i="1" s="1"/>
  <c r="H50" i="1" s="1"/>
  <c r="H51" i="1" s="1"/>
  <c r="I19" i="1"/>
  <c r="I101" i="4" s="1"/>
  <c r="I105" i="4" s="1"/>
  <c r="I124" i="4" s="1"/>
  <c r="I117" i="4" l="1"/>
  <c r="I108" i="4"/>
  <c r="I111" i="4" s="1"/>
  <c r="I102" i="4" l="1"/>
  <c r="I118" i="4" s="1"/>
  <c r="I112" i="4" s="1"/>
  <c r="I113" i="4" s="1"/>
  <c r="I122" i="4" s="1"/>
  <c r="I7" i="5" s="1"/>
  <c r="I8" i="5" s="1"/>
  <c r="I25" i="5" s="1"/>
  <c r="I21" i="1" l="1"/>
  <c r="I119" i="4"/>
  <c r="J116" i="4" s="1"/>
  <c r="I123" i="4"/>
  <c r="I22" i="1" s="1"/>
  <c r="I23" i="5" s="1"/>
  <c r="I53" i="1" l="1"/>
  <c r="I72" i="1"/>
  <c r="I23" i="1"/>
  <c r="I25" i="1" s="1"/>
  <c r="I20" i="5" l="1"/>
  <c r="I28" i="5" s="1"/>
  <c r="I30" i="5" s="1"/>
  <c r="I186" i="4"/>
  <c r="I187" i="4" s="1"/>
  <c r="I93" i="1" s="1"/>
  <c r="I85" i="4" s="1"/>
  <c r="I71" i="1"/>
  <c r="I81" i="1" s="1"/>
  <c r="I40" i="5" l="1"/>
  <c r="I42" i="5" s="1"/>
  <c r="I44" i="5" s="1"/>
  <c r="I80" i="5"/>
  <c r="I83" i="5" s="1"/>
  <c r="I90" i="5" s="1"/>
  <c r="I81" i="4"/>
  <c r="I86" i="4" s="1"/>
  <c r="I90" i="4" s="1"/>
  <c r="I91" i="4" s="1"/>
  <c r="I48" i="1" s="1"/>
  <c r="U25" i="10"/>
  <c r="I96" i="1"/>
  <c r="I188" i="4"/>
  <c r="J185" i="4" s="1"/>
  <c r="I85" i="5" l="1"/>
  <c r="I49" i="5"/>
  <c r="I51" i="5" s="1"/>
  <c r="I100" i="1"/>
  <c r="I102" i="1" s="1"/>
  <c r="U27" i="10"/>
  <c r="I92" i="5"/>
  <c r="J89" i="4"/>
  <c r="J93" i="4" s="1"/>
  <c r="J175" i="4" s="1"/>
  <c r="J177" i="4" s="1"/>
  <c r="J17" i="1" s="1"/>
  <c r="J24" i="5" s="1"/>
  <c r="I61" i="1"/>
  <c r="J99" i="1" l="1"/>
  <c r="J80" i="4" s="1"/>
  <c r="I63" i="1"/>
  <c r="U11" i="10"/>
  <c r="U12" i="10"/>
  <c r="I32" i="1"/>
  <c r="U28" i="10"/>
  <c r="J18" i="1"/>
  <c r="J19" i="1" s="1"/>
  <c r="I107" i="1" l="1"/>
  <c r="I109" i="1" s="1"/>
  <c r="I37" i="1"/>
  <c r="I43" i="1" s="1"/>
  <c r="I50" i="1" s="1"/>
  <c r="I51" i="1" s="1"/>
  <c r="J101" i="4"/>
  <c r="J105" i="4" s="1"/>
  <c r="J124" i="4" l="1"/>
  <c r="J117" i="4"/>
  <c r="J108" i="4"/>
  <c r="J102" i="4" l="1"/>
  <c r="J111" i="4"/>
  <c r="J118" i="4" l="1"/>
  <c r="J112" i="4" s="1"/>
  <c r="J113" i="4" s="1"/>
  <c r="J122" i="4" s="1"/>
  <c r="J7" i="5" s="1"/>
  <c r="J8" i="5" s="1"/>
  <c r="J25" i="5" s="1"/>
  <c r="J119" i="4" l="1"/>
  <c r="K116" i="4" s="1"/>
  <c r="J21" i="1"/>
  <c r="J123" i="4"/>
  <c r="J22" i="1" s="1"/>
  <c r="J23" i="5" s="1"/>
  <c r="J72" i="1" l="1"/>
  <c r="J53" i="1"/>
  <c r="J23" i="1"/>
  <c r="J25" i="1" s="1"/>
  <c r="J20" i="5" l="1"/>
  <c r="J28" i="5" s="1"/>
  <c r="J80" i="5" s="1"/>
  <c r="J83" i="5" s="1"/>
  <c r="J71" i="1"/>
  <c r="J81" i="1" s="1"/>
  <c r="J186" i="4"/>
  <c r="J187" i="4" s="1"/>
  <c r="J93" i="1" s="1"/>
  <c r="J96" i="1" s="1"/>
  <c r="V27" i="10" s="1"/>
  <c r="J40" i="5" l="1"/>
  <c r="J42" i="5" s="1"/>
  <c r="J49" i="5" s="1"/>
  <c r="J30" i="5"/>
  <c r="J81" i="4"/>
  <c r="V25" i="10"/>
  <c r="J90" i="5"/>
  <c r="J85" i="5"/>
  <c r="J100" i="1"/>
  <c r="J102" i="1" s="1"/>
  <c r="J188" i="4"/>
  <c r="K185" i="4" s="1"/>
  <c r="J85" i="4"/>
  <c r="J86" i="4" s="1"/>
  <c r="J90" i="4" s="1"/>
  <c r="J91" i="4" s="1"/>
  <c r="K89" i="4" s="1"/>
  <c r="J44" i="5" l="1"/>
  <c r="K99" i="1"/>
  <c r="K80" i="4" s="1"/>
  <c r="V28" i="10"/>
  <c r="J51" i="5"/>
  <c r="J92" i="5"/>
  <c r="J61" i="1"/>
  <c r="J32" i="1"/>
  <c r="J107" i="1" s="1"/>
  <c r="J109" i="1" s="1"/>
  <c r="J48" i="1"/>
  <c r="K93" i="4"/>
  <c r="K175" i="4" s="1"/>
  <c r="K177" i="4" s="1"/>
  <c r="K17" i="1" s="1"/>
  <c r="K24" i="5" s="1"/>
  <c r="J63" i="1" l="1"/>
  <c r="V11" i="10"/>
  <c r="V12" i="10"/>
  <c r="J37" i="1"/>
  <c r="J43" i="1" s="1"/>
  <c r="J50" i="1" s="1"/>
  <c r="J51" i="1" s="1"/>
  <c r="K18" i="1"/>
  <c r="K19" i="1" s="1"/>
  <c r="K101" i="4" l="1"/>
  <c r="K105" i="4" s="1"/>
  <c r="K108" i="4" l="1"/>
  <c r="K117" i="4"/>
  <c r="K124" i="4"/>
  <c r="K111" i="4" l="1"/>
  <c r="K102" i="4"/>
  <c r="K118" i="4" l="1"/>
  <c r="K112" i="4" l="1"/>
  <c r="K113" i="4" s="1"/>
  <c r="K122" i="4" s="1"/>
  <c r="K7" i="5" s="1"/>
  <c r="K8" i="5" s="1"/>
  <c r="K25" i="5" s="1"/>
  <c r="K119" i="4"/>
  <c r="L116" i="4" s="1"/>
  <c r="K21" i="1" l="1"/>
  <c r="K123" i="4"/>
  <c r="K22" i="1" s="1"/>
  <c r="K23" i="5" s="1"/>
  <c r="K23" i="1" l="1"/>
  <c r="K25" i="1" s="1"/>
  <c r="K72" i="1"/>
  <c r="K53" i="1"/>
  <c r="K20" i="5" l="1"/>
  <c r="K28" i="5" s="1"/>
  <c r="K71" i="1"/>
  <c r="K81" i="1" s="1"/>
  <c r="K186" i="4"/>
  <c r="K40" i="5" l="1"/>
  <c r="K42" i="5" s="1"/>
  <c r="K49" i="5" s="1"/>
  <c r="K30" i="5"/>
  <c r="K80" i="5"/>
  <c r="K83" i="5" s="1"/>
  <c r="K90" i="5" s="1"/>
  <c r="K81" i="4"/>
  <c r="W25" i="10"/>
  <c r="K187" i="4"/>
  <c r="K93" i="1" s="1"/>
  <c r="K85" i="5" l="1"/>
  <c r="K92" i="5"/>
  <c r="K188" i="4"/>
  <c r="K61" i="1" s="1"/>
  <c r="K85" i="4"/>
  <c r="K86" i="4" s="1"/>
  <c r="K90" i="4" s="1"/>
  <c r="K91" i="4" s="1"/>
  <c r="K96" i="1"/>
  <c r="K63" i="1" l="1"/>
  <c r="W11" i="10"/>
  <c r="W12" i="10"/>
  <c r="K100" i="1"/>
  <c r="K102" i="1" s="1"/>
  <c r="W27" i="10"/>
  <c r="L185" i="4"/>
  <c r="L89" i="4"/>
  <c r="L175" i="4" s="1"/>
  <c r="L177" i="4" s="1"/>
  <c r="L17" i="1" s="1"/>
  <c r="L24" i="5" s="1"/>
  <c r="K48" i="1"/>
  <c r="W28" i="10" l="1"/>
  <c r="L99" i="1"/>
  <c r="L80" i="4" s="1"/>
  <c r="K32" i="1"/>
  <c r="K107" i="1" s="1"/>
  <c r="K109" i="1" s="1"/>
  <c r="L18" i="1"/>
  <c r="L19" i="1" s="1"/>
  <c r="K37" i="1" l="1"/>
  <c r="K43" i="1" s="1"/>
  <c r="K50" i="1" s="1"/>
  <c r="K51" i="1" s="1"/>
  <c r="L101" i="4"/>
  <c r="L105" i="4" s="1"/>
  <c r="L124" i="4" s="1"/>
  <c r="L108" i="4" l="1"/>
  <c r="L117" i="4"/>
  <c r="L111" i="4" l="1"/>
  <c r="L102" i="4"/>
  <c r="L118" i="4" l="1"/>
  <c r="L112" i="4" s="1"/>
  <c r="L113" i="4" s="1"/>
  <c r="L122" i="4" s="1"/>
  <c r="L7" i="5" s="1"/>
  <c r="L8" i="5" s="1"/>
  <c r="L25" i="5" s="1"/>
  <c r="L21" i="1" l="1"/>
  <c r="L119" i="4"/>
  <c r="D99" i="4" s="1"/>
  <c r="L123" i="4"/>
  <c r="L22" i="1" s="1"/>
  <c r="L23" i="5" s="1"/>
  <c r="L23" i="1" l="1"/>
  <c r="L25" i="1" s="1"/>
  <c r="L53" i="1"/>
  <c r="L72" i="1"/>
  <c r="L20" i="5" l="1"/>
  <c r="L28" i="5" s="1"/>
  <c r="L186" i="4"/>
  <c r="L187" i="4" s="1"/>
  <c r="L93" i="1" s="1"/>
  <c r="L96" i="1" s="1"/>
  <c r="X27" i="10" s="1"/>
  <c r="L71" i="1"/>
  <c r="L81" i="1" s="1"/>
  <c r="L40" i="5" l="1"/>
  <c r="L30" i="5"/>
  <c r="L80" i="5"/>
  <c r="L83" i="5" s="1"/>
  <c r="L90" i="5" s="1"/>
  <c r="L81" i="4"/>
  <c r="X25" i="10"/>
  <c r="L85" i="4"/>
  <c r="L86" i="4" s="1"/>
  <c r="L90" i="4" s="1"/>
  <c r="L91" i="4" s="1"/>
  <c r="L48" i="1" s="1"/>
  <c r="L188" i="4"/>
  <c r="L61" i="1" s="1"/>
  <c r="L100" i="1"/>
  <c r="L102" i="1" s="1"/>
  <c r="K57" i="1"/>
  <c r="K65" i="1" s="1"/>
  <c r="J57" i="1"/>
  <c r="J65" i="1" s="1"/>
  <c r="I57" i="1"/>
  <c r="I65" i="1" s="1"/>
  <c r="H57" i="1"/>
  <c r="H65" i="1" s="1"/>
  <c r="L63" i="1" l="1"/>
  <c r="X11" i="10"/>
  <c r="X12" i="10"/>
  <c r="L32" i="1"/>
  <c r="H60" i="9" s="1"/>
  <c r="X28" i="10"/>
  <c r="F69" i="5"/>
  <c r="H63" i="2"/>
  <c r="H59" i="9" s="1"/>
  <c r="L37" i="1"/>
  <c r="L43" i="1" s="1"/>
  <c r="L50" i="1" s="1"/>
  <c r="L51" i="1" s="1"/>
  <c r="L57" i="1" s="1"/>
  <c r="L107" i="1"/>
  <c r="L109" i="1" s="1"/>
  <c r="F109" i="5" l="1"/>
  <c r="L65" i="1"/>
  <c r="F108" i="5"/>
  <c r="F68" i="5"/>
  <c r="N39" i="9" l="1"/>
  <c r="L37" i="9"/>
  <c r="M39" i="9"/>
  <c r="P36" i="9"/>
  <c r="L39" i="9"/>
  <c r="O36" i="9"/>
  <c r="M36" i="9"/>
  <c r="P40" i="9"/>
  <c r="N38" i="9"/>
  <c r="L36" i="9"/>
  <c r="O40" i="9"/>
  <c r="M38" i="9"/>
  <c r="N40" i="9"/>
  <c r="L38" i="9"/>
  <c r="M40" i="9"/>
  <c r="P37" i="9"/>
  <c r="O37" i="9"/>
  <c r="P39" i="9"/>
  <c r="O39" i="9"/>
  <c r="O38" i="9"/>
  <c r="N37" i="9"/>
  <c r="M37" i="9"/>
  <c r="P38" i="9"/>
  <c r="N36" i="9"/>
  <c r="L40" i="9"/>
  <c r="L15" i="9"/>
  <c r="D26" i="9" s="1"/>
  <c r="L26" i="9" s="1"/>
  <c r="N12" i="9"/>
  <c r="F23" i="9" s="1"/>
  <c r="N23" i="9" s="1"/>
  <c r="P16" i="9"/>
  <c r="H27" i="9" s="1"/>
  <c r="P27" i="9" s="1"/>
  <c r="L12" i="9"/>
  <c r="D23" i="9" s="1"/>
  <c r="L23" i="9" s="1"/>
  <c r="O16" i="9"/>
  <c r="G27" i="9" s="1"/>
  <c r="O27" i="9" s="1"/>
  <c r="M16" i="9"/>
  <c r="E27" i="9" s="1"/>
  <c r="M27" i="9" s="1"/>
  <c r="L16" i="9"/>
  <c r="D27" i="9" s="1"/>
  <c r="L27" i="9" s="1"/>
  <c r="N13" i="9"/>
  <c r="F24" i="9" s="1"/>
  <c r="N24" i="9" s="1"/>
  <c r="O15" i="9"/>
  <c r="G26" i="9" s="1"/>
  <c r="O26" i="9" s="1"/>
  <c r="L13" i="9"/>
  <c r="D24" i="9" s="1"/>
  <c r="L24" i="9" s="1"/>
  <c r="P12" i="9"/>
  <c r="H23" i="9" s="1"/>
  <c r="P23" i="9" s="1"/>
  <c r="O12" i="9"/>
  <c r="G23" i="9" s="1"/>
  <c r="O23" i="9" s="1"/>
  <c r="P14" i="9"/>
  <c r="H25" i="9" s="1"/>
  <c r="P25" i="9" s="1"/>
  <c r="M12" i="9"/>
  <c r="E23" i="9" s="1"/>
  <c r="M23" i="9" s="1"/>
  <c r="O14" i="9"/>
  <c r="G25" i="9" s="1"/>
  <c r="O25" i="9" s="1"/>
  <c r="N14" i="9"/>
  <c r="F25" i="9" s="1"/>
  <c r="N25" i="9" s="1"/>
  <c r="M14" i="9"/>
  <c r="E25" i="9" s="1"/>
  <c r="M25" i="9" s="1"/>
  <c r="L14" i="9"/>
  <c r="D25" i="9" s="1"/>
  <c r="L25" i="9" s="1"/>
  <c r="N16" i="9"/>
  <c r="F27" i="9" s="1"/>
  <c r="N27" i="9" s="1"/>
  <c r="M13" i="9"/>
  <c r="E24" i="9" s="1"/>
  <c r="M24" i="9" s="1"/>
  <c r="N15" i="9"/>
  <c r="F26" i="9" s="1"/>
  <c r="N26" i="9" s="1"/>
  <c r="M15" i="9"/>
  <c r="E26" i="9" s="1"/>
  <c r="M26" i="9" s="1"/>
  <c r="P13" i="9"/>
  <c r="H24" i="9" s="1"/>
  <c r="P24" i="9" s="1"/>
  <c r="O13" i="9"/>
  <c r="G24" i="9" s="1"/>
  <c r="O24" i="9" s="1"/>
  <c r="P15" i="9"/>
  <c r="H26" i="9" s="1"/>
  <c r="P26" i="9" s="1"/>
  <c r="E49" i="9" l="1"/>
  <c r="M49" i="9" s="1"/>
  <c r="G51" i="9"/>
  <c r="O51" i="9" s="1"/>
  <c r="F49" i="9"/>
  <c r="N49" i="9" s="1"/>
  <c r="E47" i="9"/>
  <c r="M47" i="9" s="1"/>
  <c r="H50" i="9"/>
  <c r="P50" i="9" s="1"/>
  <c r="G47" i="9"/>
  <c r="O47" i="9" s="1"/>
  <c r="F50" i="9"/>
  <c r="N50" i="9" s="1"/>
  <c r="G49" i="9"/>
  <c r="O49" i="9" s="1"/>
  <c r="D50" i="9"/>
  <c r="L50" i="9" s="1"/>
  <c r="H48" i="9"/>
  <c r="P48" i="9" s="1"/>
  <c r="H47" i="9"/>
  <c r="P47" i="9" s="1"/>
  <c r="F51" i="9"/>
  <c r="N51" i="9" s="1"/>
  <c r="H49" i="9"/>
  <c r="P49" i="9" s="1"/>
  <c r="F48" i="9"/>
  <c r="N48" i="9" s="1"/>
  <c r="G48" i="9"/>
  <c r="O48" i="9" s="1"/>
  <c r="E51" i="9"/>
  <c r="M51" i="9" s="1"/>
  <c r="E50" i="9"/>
  <c r="M50" i="9" s="1"/>
  <c r="D51" i="9"/>
  <c r="L51" i="9" s="1"/>
  <c r="F47" i="9"/>
  <c r="N47" i="9" s="1"/>
  <c r="E48" i="9"/>
  <c r="M48" i="9" s="1"/>
  <c r="H51" i="9"/>
  <c r="P51" i="9" s="1"/>
  <c r="G50" i="9"/>
  <c r="O50" i="9" s="1"/>
  <c r="D49" i="9"/>
  <c r="L49" i="9" s="1"/>
  <c r="D48" i="9"/>
  <c r="L48" i="9" s="1"/>
  <c r="D47" i="9"/>
  <c r="L47" i="9" s="1"/>
  <c r="G11" i="9"/>
  <c r="O11" i="9" l="1"/>
  <c r="G22" i="9" s="1"/>
  <c r="O22" i="9" s="1"/>
  <c r="H11" i="9"/>
  <c r="P11" i="9" s="1"/>
  <c r="H22" i="9" s="1"/>
  <c r="P22" i="9" s="1"/>
  <c r="E11" i="9"/>
  <c r="N11" i="9"/>
  <c r="F22" i="9" s="1"/>
  <c r="N22" i="9" s="1"/>
  <c r="M11" i="9" l="1"/>
  <c r="E22" i="9" s="1"/>
  <c r="M22" i="9" s="1"/>
  <c r="D11" i="9"/>
  <c r="L11" i="9" s="1"/>
  <c r="D22" i="9" s="1"/>
  <c r="L22" i="9" s="1"/>
  <c r="C15" i="9"/>
  <c r="C39" i="9"/>
  <c r="C37" i="9" l="1"/>
  <c r="C36" i="9" s="1"/>
  <c r="C47" i="9" s="1"/>
  <c r="K56" i="5"/>
  <c r="H56" i="5"/>
  <c r="H58" i="5" s="1"/>
  <c r="I96" i="5"/>
  <c r="I98" i="5" s="1"/>
  <c r="J56" i="5"/>
  <c r="J58" i="5" s="1"/>
  <c r="K39" i="9"/>
  <c r="K50" i="9" s="1"/>
  <c r="C40" i="9"/>
  <c r="C50" i="9"/>
  <c r="K15" i="9"/>
  <c r="C26" i="9" s="1"/>
  <c r="K26" i="9" s="1"/>
  <c r="C16" i="9"/>
  <c r="K16" i="9" s="1"/>
  <c r="C27" i="9" s="1"/>
  <c r="K27" i="9" s="1"/>
  <c r="C13" i="9"/>
  <c r="K43" i="5"/>
  <c r="K14" i="9"/>
  <c r="C25" i="9" s="1"/>
  <c r="K25" i="9" s="1"/>
  <c r="C49" i="9"/>
  <c r="I56" i="5"/>
  <c r="K38" i="9"/>
  <c r="K49" i="9" s="1"/>
  <c r="C48" i="9" l="1"/>
  <c r="L96" i="5"/>
  <c r="K36" i="9"/>
  <c r="K47" i="9" s="1"/>
  <c r="K37" i="9"/>
  <c r="K48" i="9" s="1"/>
  <c r="J96" i="5"/>
  <c r="J98" i="5" s="1"/>
  <c r="K96" i="5"/>
  <c r="K98" i="5" s="1"/>
  <c r="H96" i="5"/>
  <c r="H98" i="5" s="1"/>
  <c r="K62" i="5"/>
  <c r="I58" i="5"/>
  <c r="C51" i="9"/>
  <c r="K40" i="9"/>
  <c r="K51" i="9" s="1"/>
  <c r="C12" i="9"/>
  <c r="K12" i="9" s="1"/>
  <c r="C23" i="9" s="1"/>
  <c r="K23" i="9" s="1"/>
  <c r="K13" i="9"/>
  <c r="C24" i="9" s="1"/>
  <c r="K24" i="9" s="1"/>
  <c r="K50" i="5"/>
  <c r="K44" i="5"/>
  <c r="K101" i="5" l="1"/>
  <c r="K51" i="5"/>
  <c r="F63" i="5" s="1"/>
  <c r="K57" i="5"/>
  <c r="K63" i="5" l="1"/>
  <c r="K58" i="5"/>
  <c r="F62" i="5" l="1"/>
  <c r="K64" i="5"/>
  <c r="J63" i="5" s="1"/>
  <c r="C11" i="9" l="1"/>
  <c r="F67" i="5"/>
  <c r="F70" i="5" s="1"/>
  <c r="K67" i="5" s="1"/>
  <c r="K69" i="5" s="1"/>
  <c r="J64" i="5"/>
  <c r="J62" i="5"/>
  <c r="L84" i="5"/>
  <c r="L91" i="5" l="1"/>
  <c r="L85" i="5"/>
  <c r="N35" i="9" l="1"/>
  <c r="N46" i="9" s="1"/>
  <c r="G35" i="9"/>
  <c r="F46" i="9"/>
  <c r="E35" i="9"/>
  <c r="L97" i="5"/>
  <c r="L92" i="5"/>
  <c r="F102" i="5" s="1"/>
  <c r="K102" i="5" l="1"/>
  <c r="L98" i="5"/>
  <c r="F101" i="5" s="1"/>
  <c r="E46" i="9"/>
  <c r="M35" i="9"/>
  <c r="M46" i="9" s="1"/>
  <c r="D35" i="9"/>
  <c r="F107" i="5"/>
  <c r="C35" i="9"/>
  <c r="O35" i="9"/>
  <c r="O46" i="9" s="1"/>
  <c r="H35" i="9"/>
  <c r="G46" i="9"/>
  <c r="F110" i="5" l="1"/>
  <c r="K107" i="5" s="1"/>
  <c r="K109" i="5" s="1"/>
  <c r="K103" i="5"/>
  <c r="P35" i="9"/>
  <c r="P46" i="9" s="1"/>
  <c r="H46" i="9"/>
  <c r="L35" i="9"/>
  <c r="L46" i="9" s="1"/>
  <c r="D46" i="9"/>
  <c r="J101" i="5" l="1"/>
  <c r="J103" i="5"/>
  <c r="J10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<sst xmlns="http://schemas.openxmlformats.org/spreadsheetml/2006/main" count="557" uniqueCount="316">
  <si>
    <t>Particulars</t>
  </si>
  <si>
    <t>Units</t>
  </si>
  <si>
    <t>Consolidated Statement of Profit and Loss</t>
  </si>
  <si>
    <t>Revenue</t>
  </si>
  <si>
    <t>COGS</t>
  </si>
  <si>
    <t>Gross Profit</t>
  </si>
  <si>
    <t>SG&amp;A</t>
  </si>
  <si>
    <t>EBITDA</t>
  </si>
  <si>
    <t>Depreciation</t>
  </si>
  <si>
    <t>EBIT</t>
  </si>
  <si>
    <t>EBT</t>
  </si>
  <si>
    <t>Current Tax</t>
  </si>
  <si>
    <t>Deferred Tax</t>
  </si>
  <si>
    <t>Total Tax</t>
  </si>
  <si>
    <t>Net Income</t>
  </si>
  <si>
    <t>Exceptional Items</t>
  </si>
  <si>
    <t>(All amounts in ₹ crores, unless otherwise stated)</t>
  </si>
  <si>
    <t>Consolidated Balance Sheet</t>
  </si>
  <si>
    <t>ASSETS</t>
  </si>
  <si>
    <t>Cash</t>
  </si>
  <si>
    <t>Accounts Receivable</t>
  </si>
  <si>
    <t>Inventories</t>
  </si>
  <si>
    <t>Total Current Assets</t>
  </si>
  <si>
    <t>Property Plant &amp; Equipment</t>
  </si>
  <si>
    <t>Total Assets</t>
  </si>
  <si>
    <t>LIABILITIES</t>
  </si>
  <si>
    <t>Accounts Payable</t>
  </si>
  <si>
    <t>Revolving Credit Line</t>
  </si>
  <si>
    <t>Total Current Liabilities</t>
  </si>
  <si>
    <t>Deferred Taxes</t>
  </si>
  <si>
    <t>Long-Term Debt</t>
  </si>
  <si>
    <t>Total Liabilities</t>
  </si>
  <si>
    <t>EQUITY</t>
  </si>
  <si>
    <t>Common Equity</t>
  </si>
  <si>
    <t>Retained Earnings</t>
  </si>
  <si>
    <t>Total Shareholders' Equity</t>
  </si>
  <si>
    <t>Total Liabilities &amp; Equity</t>
  </si>
  <si>
    <t>Other Non Current Assets</t>
  </si>
  <si>
    <t>Other Non Current Libilities</t>
  </si>
  <si>
    <t>Non Controlling Interest</t>
  </si>
  <si>
    <t>Cash From Other Current/Non-Current Items</t>
  </si>
  <si>
    <t>Consolidated Statement of Cash Flows</t>
  </si>
  <si>
    <t>CASH FROM OPERATIONS</t>
  </si>
  <si>
    <t>Cash From Accounts Receivable</t>
  </si>
  <si>
    <t>Cash From Inventory</t>
  </si>
  <si>
    <t>Cash From Accounts Payable</t>
  </si>
  <si>
    <t>Subtotal</t>
  </si>
  <si>
    <t/>
  </si>
  <si>
    <t>CASH FROM INVESTING</t>
  </si>
  <si>
    <t>Capital Expenditure</t>
  </si>
  <si>
    <t>CASH FROM FINANCING</t>
  </si>
  <si>
    <t>Change in Long-Term Debt</t>
  </si>
  <si>
    <t>Change in Common Equity</t>
  </si>
  <si>
    <t>Dividends</t>
  </si>
  <si>
    <t>CASH BALANCE</t>
  </si>
  <si>
    <t>Beginning of the Year</t>
  </si>
  <si>
    <t>Increase / (Decrease)</t>
  </si>
  <si>
    <t>End of the Year</t>
  </si>
  <si>
    <t>Days in Period</t>
  </si>
  <si>
    <t>TOTAL AMOUNTS</t>
  </si>
  <si>
    <t>CASH CHANGES</t>
  </si>
  <si>
    <t>Cash from Working Capital Items</t>
  </si>
  <si>
    <t>Working Capital Schedule</t>
  </si>
  <si>
    <t>Debt &amp; Interest Schedule</t>
  </si>
  <si>
    <t>LONG TERM DEBT</t>
  </si>
  <si>
    <t>Beginning Balance</t>
  </si>
  <si>
    <t>Ending Balance</t>
  </si>
  <si>
    <t>AVAILABLE CASH</t>
  </si>
  <si>
    <t>Beginning Cash Balance</t>
  </si>
  <si>
    <t>Cash from Operations</t>
  </si>
  <si>
    <t>Cash from Investing</t>
  </si>
  <si>
    <t>Cash Available for Revolving Credit Line</t>
  </si>
  <si>
    <t>REVOLVING CREDIT LINE</t>
  </si>
  <si>
    <t>COMMON EQUITY</t>
  </si>
  <si>
    <t>Capex</t>
  </si>
  <si>
    <t>Ending</t>
  </si>
  <si>
    <t xml:space="preserve"> </t>
  </si>
  <si>
    <t>Short-Term Bank Deposits</t>
  </si>
  <si>
    <t>Non-Cash &amp; Non-Operating Adjustments</t>
  </si>
  <si>
    <t>Current Assets/Liabilities Residual</t>
  </si>
  <si>
    <t>Net Investments</t>
  </si>
  <si>
    <t>Net Loans &amp; Deposits</t>
  </si>
  <si>
    <t>Short-Term Borrowings</t>
  </si>
  <si>
    <t>Other Financing Charges</t>
  </si>
  <si>
    <t>cash acquired under business combination</t>
  </si>
  <si>
    <t>NOTE</t>
  </si>
  <si>
    <t>Cash as per BS</t>
  </si>
  <si>
    <t>Cash Defination for CFS</t>
  </si>
  <si>
    <t>Other Annual Inputs</t>
  </si>
  <si>
    <t>Tax Rate</t>
  </si>
  <si>
    <t>First Year Tax Depreciation</t>
  </si>
  <si>
    <t>Blended Tax Depreciation Rate</t>
  </si>
  <si>
    <t>Tax Basis for Assets</t>
  </si>
  <si>
    <t>Tax Losses</t>
  </si>
  <si>
    <t>Dividend Payout Ratio</t>
  </si>
  <si>
    <t>First Year Accounting Depreciation</t>
  </si>
  <si>
    <t>(Years)</t>
  </si>
  <si>
    <t>Drivers</t>
  </si>
  <si>
    <t>Driver Switch</t>
  </si>
  <si>
    <t>Base Case</t>
  </si>
  <si>
    <t>Revenue Growth</t>
  </si>
  <si>
    <t>COGS %</t>
  </si>
  <si>
    <t>Inventory Days</t>
  </si>
  <si>
    <t>Accounts Payable Days</t>
  </si>
  <si>
    <t>Accounts Receivable Days</t>
  </si>
  <si>
    <t>WACC</t>
  </si>
  <si>
    <t>Other Operating Expenses</t>
  </si>
  <si>
    <t>Depreciation Schedule</t>
  </si>
  <si>
    <t xml:space="preserve">Capital Expenditure </t>
  </si>
  <si>
    <r>
      <t xml:space="preserve">EXISTING ASSETS </t>
    </r>
    <r>
      <rPr>
        <b/>
        <vertAlign val="superscript"/>
        <sz val="10"/>
        <rFont val="Open Sans"/>
        <family val="2"/>
      </rPr>
      <t>1</t>
    </r>
  </si>
  <si>
    <t>Percent of Full Year</t>
  </si>
  <si>
    <t>Useful Life</t>
  </si>
  <si>
    <t>PP&amp;E</t>
  </si>
  <si>
    <r>
      <t xml:space="preserve">NEW ASSETS </t>
    </r>
    <r>
      <rPr>
        <b/>
        <vertAlign val="superscript"/>
        <sz val="10"/>
        <rFont val="Open Sans"/>
        <family val="2"/>
      </rPr>
      <t>1</t>
    </r>
  </si>
  <si>
    <t>Year</t>
  </si>
  <si>
    <t>First Year Amount</t>
  </si>
  <si>
    <t>Amounts for Depreciation</t>
  </si>
  <si>
    <t>Per Yr</t>
  </si>
  <si>
    <t>Taxes &amp; Depreciation</t>
  </si>
  <si>
    <r>
      <t xml:space="preserve">TOTAL ASSET DEPRECIATION </t>
    </r>
    <r>
      <rPr>
        <b/>
        <vertAlign val="superscript"/>
        <sz val="9"/>
        <rFont val="Open Sans"/>
        <family val="2"/>
      </rPr>
      <t>2</t>
    </r>
  </si>
  <si>
    <t>Existing Assets</t>
  </si>
  <si>
    <t>New Assets</t>
  </si>
  <si>
    <t>Total Depreciation</t>
  </si>
  <si>
    <t xml:space="preserve">Inflation Rate ¹ </t>
  </si>
  <si>
    <t>Useful Life: Existing Assets ²</t>
  </si>
  <si>
    <t>pg 107</t>
  </si>
  <si>
    <t>pg 381</t>
  </si>
  <si>
    <t>Useful Life: New Assets ³</t>
  </si>
  <si>
    <t>Capex ⁴</t>
  </si>
  <si>
    <t>Other Income ⁵</t>
  </si>
  <si>
    <t>Interest ⁶</t>
  </si>
  <si>
    <t>.5% of EBIT</t>
  </si>
  <si>
    <t>Other Current Assets ⁷</t>
  </si>
  <si>
    <t>9.5% of Revenue</t>
  </si>
  <si>
    <t>1.5% of Revenue</t>
  </si>
  <si>
    <t>2.8%, 2.2%, 1.8% of Revenue</t>
  </si>
  <si>
    <t>Ref. No</t>
  </si>
  <si>
    <t>Note</t>
  </si>
  <si>
    <t>Calc &amp; Misc</t>
  </si>
  <si>
    <t>Goodwill</t>
  </si>
  <si>
    <t>Intangibles ⁸</t>
  </si>
  <si>
    <t>Amortize at 3%</t>
  </si>
  <si>
    <t>PP&amp;E Schedule</t>
  </si>
  <si>
    <t>Beginning</t>
  </si>
  <si>
    <t>business type and stage</t>
  </si>
  <si>
    <t>85% of capex</t>
  </si>
  <si>
    <t xml:space="preserve"> -</t>
  </si>
  <si>
    <t>CWIP PP&amp;E</t>
  </si>
  <si>
    <t xml:space="preserve">PROPERTY PLANT &amp; EQUIPMENT </t>
  </si>
  <si>
    <t>Capitalized PP&amp;E ⁹</t>
  </si>
  <si>
    <t>Transfers to PP&amp;E</t>
  </si>
  <si>
    <t>Capitalized CWIP</t>
  </si>
  <si>
    <t>Interest Expense</t>
  </si>
  <si>
    <t>Net Interest Expense</t>
  </si>
  <si>
    <t>Revolving Credit Line Schedule</t>
  </si>
  <si>
    <t>Long Term Debt</t>
  </si>
  <si>
    <t>Other Current Libilities  ¹⁰</t>
  </si>
  <si>
    <t>3.8% of Revenue</t>
  </si>
  <si>
    <t>Earnings Before Tax (EBT)</t>
  </si>
  <si>
    <t>Profitable Before Taxes?</t>
  </si>
  <si>
    <t>Unused Tax Losses Remaining?</t>
  </si>
  <si>
    <t>ADJUSTMENT FOR DEPRECIATION</t>
  </si>
  <si>
    <t>Less: Tax Depreciation</t>
  </si>
  <si>
    <t>EBT After Adjustment</t>
  </si>
  <si>
    <r>
      <t xml:space="preserve">ADJUSTMENT FOR TAX LOSSES </t>
    </r>
    <r>
      <rPr>
        <b/>
        <vertAlign val="superscript"/>
        <sz val="10"/>
        <rFont val="Open Sans"/>
        <family val="2"/>
      </rPr>
      <t>1</t>
    </r>
  </si>
  <si>
    <r>
      <t xml:space="preserve">Less: Use of Tax Losses </t>
    </r>
    <r>
      <rPr>
        <vertAlign val="superscript"/>
        <sz val="10"/>
        <rFont val="Open Sans"/>
        <family val="2"/>
      </rPr>
      <t>2</t>
    </r>
  </si>
  <si>
    <t>Taxable Income</t>
  </si>
  <si>
    <t>TAX LOSSES</t>
  </si>
  <si>
    <t>Add: New Losses</t>
  </si>
  <si>
    <t>Less: Use of Tax Losses</t>
  </si>
  <si>
    <t>TAXES</t>
  </si>
  <si>
    <t>Current Taxes</t>
  </si>
  <si>
    <t>Total Taxes</t>
  </si>
  <si>
    <t>Add: Depreciation</t>
  </si>
  <si>
    <t>Tax Depreciation</t>
  </si>
  <si>
    <t>TAX BASIS</t>
  </si>
  <si>
    <t>RCL Interest Rate</t>
  </si>
  <si>
    <t>Long Term Debt Interest Rate</t>
  </si>
  <si>
    <t>Total Interest</t>
  </si>
  <si>
    <t>Long Term Debt Interest</t>
  </si>
  <si>
    <t>RCL Interest</t>
  </si>
  <si>
    <t>RETAINED EARNINGS</t>
  </si>
  <si>
    <t>Non-Controlling Interest</t>
  </si>
  <si>
    <t>Beginning NCI</t>
  </si>
  <si>
    <t>Dividends to NCI</t>
  </si>
  <si>
    <t>pg 375</t>
  </si>
  <si>
    <t>Net Income of NCI ¹¹</t>
  </si>
  <si>
    <t>Total NCI Income</t>
  </si>
  <si>
    <t>Zywie Ventures Private Limited</t>
  </si>
  <si>
    <t>Unilever Nepal Limited</t>
  </si>
  <si>
    <t>Total Dividend to NCI</t>
  </si>
  <si>
    <t>`</t>
  </si>
  <si>
    <t>0.92% of Revenue</t>
  </si>
  <si>
    <t>Lease Financing ¹²</t>
  </si>
  <si>
    <t>Cash From Other Current Liabilities</t>
  </si>
  <si>
    <t>Lease Libilities Schedule</t>
  </si>
  <si>
    <t>Ending lease liability</t>
  </si>
  <si>
    <t>Lease Libilities</t>
  </si>
  <si>
    <t>Principal Repayment ¹³</t>
  </si>
  <si>
    <t>5% of Lease Rate</t>
  </si>
  <si>
    <t>Capital Assets and Equity Schedules</t>
  </si>
  <si>
    <t>Balance Sheet Adjustment</t>
  </si>
  <si>
    <t>Unlevered Free Cash Flow Schedule</t>
  </si>
  <si>
    <t>TAX SHIELD FROM INTEREST</t>
  </si>
  <si>
    <t>Line Item</t>
  </si>
  <si>
    <t>Term</t>
  </si>
  <si>
    <t>Current Taxes (Unlevered)</t>
  </si>
  <si>
    <t>Current Taxes (Levered)</t>
  </si>
  <si>
    <t>Total Tax Shield</t>
  </si>
  <si>
    <t>EBITDA METHOD</t>
  </si>
  <si>
    <t>Change in Working Capital</t>
  </si>
  <si>
    <t>Unlevered Free Cash Flow</t>
  </si>
  <si>
    <t>NET INCOME METHOD</t>
  </si>
  <si>
    <r>
      <t xml:space="preserve">Depreciation </t>
    </r>
    <r>
      <rPr>
        <vertAlign val="superscript"/>
        <sz val="9"/>
        <rFont val="Open Sans"/>
        <family val="2"/>
      </rPr>
      <t>1</t>
    </r>
  </si>
  <si>
    <r>
      <t xml:space="preserve">Deferred Tax </t>
    </r>
    <r>
      <rPr>
        <vertAlign val="superscript"/>
        <sz val="9"/>
        <rFont val="Open Sans"/>
        <family val="2"/>
      </rPr>
      <t>2</t>
    </r>
  </si>
  <si>
    <t>Tax Shield From Interest</t>
  </si>
  <si>
    <t>Two UFCF Methods Different?</t>
  </si>
  <si>
    <t>Earnings Before Interest &amp; Tax (EBIT)</t>
  </si>
  <si>
    <t>Income Tax (Levered) Schedule</t>
  </si>
  <si>
    <t>Income Tax (Unlevered) Schedule</t>
  </si>
  <si>
    <t>Other Income</t>
  </si>
  <si>
    <t>Valuation</t>
  </si>
  <si>
    <t>Discrete Forecast</t>
  </si>
  <si>
    <t>(YY-MM-DD)</t>
  </si>
  <si>
    <t>Terminal Growth</t>
  </si>
  <si>
    <t>Fiscal Year End</t>
  </si>
  <si>
    <t>Cash Flow Timing</t>
  </si>
  <si>
    <t>UNADJUSTED CASH FLOW</t>
  </si>
  <si>
    <t>Terminal Value</t>
  </si>
  <si>
    <t>Total Cash Flow</t>
  </si>
  <si>
    <t>ADJUSTED CASH FLOW</t>
  </si>
  <si>
    <t>Partial Period Adjustment</t>
  </si>
  <si>
    <t>DISCOUNTED CASH FLOW</t>
  </si>
  <si>
    <t>Years for Discounting</t>
  </si>
  <si>
    <t>ENTERPRISE VALUE</t>
  </si>
  <si>
    <t>Manual Method</t>
  </si>
  <si>
    <t>PV of Discrete</t>
  </si>
  <si>
    <r>
      <t xml:space="preserve">XNPV Function </t>
    </r>
    <r>
      <rPr>
        <vertAlign val="superscript"/>
        <sz val="9"/>
        <color rgb="FF000000"/>
        <rFont val="Open Sans"/>
        <family val="2"/>
      </rPr>
      <t>1</t>
    </r>
  </si>
  <si>
    <t>PV of Terminal</t>
  </si>
  <si>
    <t>Enterprise Value</t>
  </si>
  <si>
    <t>EQUITY VALUE</t>
  </si>
  <si>
    <t>EQUITY VALUE PER SHARE</t>
  </si>
  <si>
    <t>Equity Value</t>
  </si>
  <si>
    <t>Less: Net Debt</t>
  </si>
  <si>
    <t>Shares Outstanding</t>
  </si>
  <si>
    <t>Net Debt</t>
  </si>
  <si>
    <t>LT Debt, RCL, Lease Liabilities, NCI</t>
  </si>
  <si>
    <t>Equity Value per Share</t>
  </si>
  <si>
    <t>Valuation Date</t>
  </si>
  <si>
    <t>First Expected Cash Flow</t>
  </si>
  <si>
    <t>First Fiscal Year End for Forecast</t>
  </si>
  <si>
    <t>Terminal Multiple</t>
  </si>
  <si>
    <t>Terminal</t>
  </si>
  <si>
    <r>
      <t xml:space="preserve">Terminal Value </t>
    </r>
    <r>
      <rPr>
        <vertAlign val="superscript"/>
        <sz val="10"/>
        <rFont val="Open Sans"/>
        <family val="2"/>
      </rPr>
      <t>1</t>
    </r>
  </si>
  <si>
    <t>Adjustment</t>
  </si>
  <si>
    <r>
      <t xml:space="preserve">XNPV Function </t>
    </r>
    <r>
      <rPr>
        <vertAlign val="superscript"/>
        <sz val="9"/>
        <rFont val="Open Sans"/>
        <family val="2"/>
      </rPr>
      <t>2</t>
    </r>
  </si>
  <si>
    <r>
      <t xml:space="preserve">Terminal EBITDA Multiple </t>
    </r>
    <r>
      <rPr>
        <vertAlign val="superscript"/>
        <sz val="10"/>
        <color theme="1"/>
        <rFont val="Open Sans"/>
        <family val="2"/>
      </rPr>
      <t>1</t>
    </r>
  </si>
  <si>
    <t>Net Debt ¹⁴</t>
  </si>
  <si>
    <t>Add: CCE</t>
  </si>
  <si>
    <t>Discounted Cash Flow: Multiple Method</t>
  </si>
  <si>
    <t>Discounted Cash Flow: Perpetuity Method</t>
  </si>
  <si>
    <t>Dashboard: Perpetuity Method</t>
  </si>
  <si>
    <t>Selected Inputs</t>
  </si>
  <si>
    <t>Terminal Growth Rate</t>
  </si>
  <si>
    <t>Current Stock Price</t>
  </si>
  <si>
    <t>Premium (Discount) to Stock Price</t>
  </si>
  <si>
    <t>Dashboard: Multiple Method</t>
  </si>
  <si>
    <t xml:space="preserve">Enterprise Value </t>
  </si>
  <si>
    <t>CCE</t>
  </si>
  <si>
    <t>Expenses</t>
  </si>
  <si>
    <t>EBITDA Margin %</t>
  </si>
  <si>
    <t>Profit Margin</t>
  </si>
  <si>
    <t>Total Expense</t>
  </si>
  <si>
    <t>ROCE</t>
  </si>
  <si>
    <t>ROE</t>
  </si>
  <si>
    <t>Capital Return Efficiency</t>
  </si>
  <si>
    <t>Cash From Operations</t>
  </si>
  <si>
    <t>Cash From Investing</t>
  </si>
  <si>
    <t>Cash From Financing</t>
  </si>
  <si>
    <t>Cash Balance</t>
  </si>
  <si>
    <t>Cash Flow</t>
  </si>
  <si>
    <t>Hindustan Unilever DCF Valuation</t>
  </si>
  <si>
    <t>Intrinsic Value Estimate using DCF Method</t>
  </si>
  <si>
    <t>Company</t>
  </si>
  <si>
    <t>Currency</t>
  </si>
  <si>
    <t>Date</t>
  </si>
  <si>
    <t>Prepared by</t>
  </si>
  <si>
    <t>Scenarios</t>
  </si>
  <si>
    <t>Table of Contents</t>
  </si>
  <si>
    <t>Mohd Talib Raeen</t>
  </si>
  <si>
    <t>Hindustan Unilever Limited</t>
  </si>
  <si>
    <t>Bull Case</t>
  </si>
  <si>
    <t>Bear Case</t>
  </si>
  <si>
    <t>Base / Bull / Bear</t>
  </si>
  <si>
    <t>Dashboard</t>
  </si>
  <si>
    <t>Sensitivity_Analysis</t>
  </si>
  <si>
    <t>Valuation_DCF</t>
  </si>
  <si>
    <t>Schedules</t>
  </si>
  <si>
    <t>Core_Model</t>
  </si>
  <si>
    <t>Assumption</t>
  </si>
  <si>
    <t>:</t>
  </si>
  <si>
    <t>This financial model is prepared for educational and interview purposes only.</t>
  </si>
  <si>
    <t>Confidentiality Note:</t>
  </si>
  <si>
    <t>Select a worksheet below to navigate.</t>
  </si>
  <si>
    <t>Model Information</t>
  </si>
  <si>
    <t>It is intended solely for the recipient and should not be distributed, reproduced, or used without permission</t>
  </si>
  <si>
    <t>Navigation Tip:</t>
  </si>
  <si>
    <t>All amounts in ₹ crores,</t>
  </si>
  <si>
    <t>unless otherwise stated</t>
  </si>
  <si>
    <t>Use Ctrl + ↑ / Ctrl + ↓ in Column A to jump</t>
  </si>
  <si>
    <t>between section markers within worksheets.</t>
  </si>
  <si>
    <t>Cash Flows</t>
  </si>
  <si>
    <t>Bank Overdraft (HUL AR Note 23)</t>
  </si>
  <si>
    <t>PER DAY</t>
  </si>
  <si>
    <t xml:space="preserve">ADJUSTMENT FOR TAX LOSSES </t>
  </si>
  <si>
    <t>Appendix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</si>
</sst>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4" formatCode="_ &quot;₹&quot;\ * #,##0.00_ ;_ &quot;₹&quot;\ * \-#,##0.00_ ;_ &quot;₹&quot;\ * &quot;-&quot;??_ ;_ @_ "/>
    <numFmt numFmtId="164" formatCode="&quot;₹&quot;\ #,##0"/>
    <numFmt numFmtId="165" formatCode="0&quot;A&quot;"/>
    <numFmt numFmtId="166" formatCode="0&quot;F&quot;"/>
    <numFmt numFmtId="167" formatCode="_(#,##0_);\(#,##0\);_(&quot;–&quot;_);_(@_)"/>
    <numFmt numFmtId="168" formatCode="_-* #,##0.00_-;\-* #,##0.00_-;_-* &quot;-&quot;??_-;_-@_-"/>
    <numFmt numFmtId="169" formatCode="_-* #,##0_-;\(#,##0\)_-;_-* &quot;-&quot;_-;_-@_-"/>
    <numFmt numFmtId="170" formatCode="_(#,##0.0%_);\(#,##0.0%\);_(&quot;–&quot;_)_%;_(@_)_%"/>
    <numFmt numFmtId="171" formatCode="_(#,##0%_);\(#,##0%\);_(&quot;–&quot;_)_%;_(@_)_%"/>
    <numFmt numFmtId="172" formatCode="_(#,##0.00_);\(#,##0.00\);_(&quot;–&quot;_);_(@_)"/>
    <numFmt numFmtId="173" formatCode="#,##0_);\(#,##0\);\-"/>
    <numFmt numFmtId="174" formatCode="0.0%"/>
    <numFmt numFmtId="175" formatCode="_(#,##0_)_%;\(#,##0\)_%;_(&quot;–&quot;_)_%;_(@_)_%"/>
    <numFmt numFmtId="176" formatCode="@\⁽\¹\⁾"/>
    <numFmt numFmtId="177" formatCode="&quot;Yr&quot;\ 0"/>
    <numFmt numFmtId="178" formatCode="0&quot;F&quot;\ "/>
    <numFmt numFmtId="179" formatCode="0.0"/>
    <numFmt numFmtId="180" formatCode="[=1]&quot;Yes&quot;_);[=0]&quot;No&quot;_)"/>
    <numFmt numFmtId="181" formatCode="&quot;Yes&quot;;&quot;ERROR&quot;;&quot;No&quot;;&quot;ERROR&quot;"/>
    <numFmt numFmtId="182" formatCode="#,##0.00_);\(#,##0.00\);\-"/>
    <numFmt numFmtId="183" formatCode="yy/mm/dd"/>
    <numFmt numFmtId="184" formatCode="_(0.0000\x_);\(0.0000\x\);_(&quot;–&quot;_);_(@_)"/>
    <numFmt numFmtId="185" formatCode="&quot;₹&quot;\ #,##0.00"/>
    <numFmt numFmtId="186" formatCode="_(0.0\x_);\(0.0\x\);_(&quot;–&quot;_);_(@_)"/>
    <numFmt numFmtId="187" formatCode="_(&quot;$&quot;* #,##0.00_);_(&quot;$&quot;* \(#,##0.00\);_(&quot;$&quot;* &quot;-&quot;??_);_(@_)"/>
    <numFmt numFmtId="188" formatCode="mmmm\,\ yyyy"/>
  </numFmts>
  <fonts count="9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Open Sans"/>
      <family val="2"/>
    </font>
    <font>
      <b/>
      <sz val="10"/>
      <color rgb="FF000000"/>
      <name val="Open Sans"/>
      <family val="2"/>
    </font>
    <font>
      <sz val="10"/>
      <color rgb="FF000000"/>
      <name val="Open Sans"/>
      <family val="2"/>
    </font>
    <font>
      <i/>
      <sz val="11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Open Sans"/>
      <family val="2"/>
    </font>
    <font>
      <sz val="10"/>
      <name val="Open Sans"/>
      <family val="2"/>
    </font>
    <font>
      <sz val="10"/>
      <name val="Open Sans"/>
      <family val="2"/>
    </font>
    <font>
      <sz val="11"/>
      <name val="Open Sans"/>
      <family val="2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0"/>
      <color theme="0"/>
      <name val="Open Sans"/>
      <family val="2"/>
    </font>
    <font>
      <sz val="11"/>
      <color theme="1"/>
      <name val="Open Sans"/>
      <family val="2"/>
    </font>
    <font>
      <sz val="10"/>
      <color theme="1"/>
      <name val="Arial Unicode MS"/>
    </font>
    <font>
      <b/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3271D2"/>
      <name val="Open Sans"/>
      <family val="2"/>
    </font>
    <font>
      <sz val="10"/>
      <color theme="0"/>
      <name val="Open Sans"/>
      <family val="2"/>
    </font>
    <font>
      <sz val="10"/>
      <name val="Bookman"/>
      <family val="1"/>
    </font>
    <font>
      <b/>
      <sz val="10"/>
      <color rgb="FF3271D2"/>
      <name val="Open Sans"/>
      <family val="2"/>
    </font>
    <font>
      <sz val="12"/>
      <color theme="1"/>
      <name val="Open Sans"/>
      <family val="2"/>
    </font>
    <font>
      <sz val="10"/>
      <color theme="1"/>
      <name val="Open Sans"/>
      <family val="2"/>
    </font>
    <font>
      <i/>
      <sz val="10"/>
      <color theme="1"/>
      <name val="Open Sans"/>
      <family val="2"/>
    </font>
    <font>
      <b/>
      <sz val="14"/>
      <color theme="0"/>
      <name val="Open Sans"/>
      <family val="2"/>
    </font>
    <font>
      <i/>
      <sz val="8"/>
      <color theme="1"/>
      <name val="Open Sans"/>
      <family val="2"/>
    </font>
    <font>
      <sz val="10"/>
      <color rgb="FF3271D2"/>
      <name val="Open Sans"/>
      <family val="2"/>
    </font>
    <font>
      <i/>
      <sz val="11"/>
      <color rgb="FF000000"/>
      <name val="Open Sans"/>
      <family val="2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10"/>
      <name val="Bookman"/>
    </font>
    <font>
      <i/>
      <sz val="8"/>
      <name val="Open Sans"/>
      <family val="2"/>
    </font>
    <font>
      <b/>
      <sz val="12"/>
      <color theme="1"/>
      <name val="Calibri"/>
      <family val="2"/>
      <scheme val="minor"/>
    </font>
    <font>
      <i/>
      <sz val="9"/>
      <name val="Open Sans"/>
      <family val="2"/>
    </font>
    <font>
      <b/>
      <vertAlign val="superscript"/>
      <sz val="10"/>
      <name val="Open Sans"/>
      <family val="2"/>
    </font>
    <font>
      <sz val="14"/>
      <color theme="1"/>
      <name val="Open Sans"/>
      <family val="2"/>
    </font>
    <font>
      <i/>
      <sz val="10"/>
      <color rgb="FF3271D2"/>
      <name val="Open Sans"/>
      <family val="2"/>
    </font>
    <font>
      <b/>
      <sz val="9"/>
      <color theme="0"/>
      <name val="Calibri"/>
      <family val="2"/>
      <scheme val="minor"/>
    </font>
    <font>
      <b/>
      <vertAlign val="superscript"/>
      <sz val="9"/>
      <name val="Open Sans"/>
      <family val="2"/>
    </font>
    <font>
      <sz val="11"/>
      <color theme="0"/>
      <name val="Calibri"/>
      <family val="2"/>
      <scheme val="minor"/>
    </font>
    <font>
      <b/>
      <sz val="10"/>
      <color theme="0" tint="-0.499984740745262"/>
      <name val="Open Sans"/>
      <family val="2"/>
    </font>
    <font>
      <sz val="10"/>
      <color theme="0" tint="-0.499984740745262"/>
      <name val="Open Sans"/>
      <family val="2"/>
    </font>
    <font>
      <sz val="11"/>
      <color theme="0" tint="-0.499984740745262"/>
      <name val="Open Sans"/>
      <family val="2"/>
    </font>
    <font>
      <vertAlign val="superscript"/>
      <sz val="10"/>
      <name val="Open Sans"/>
      <family val="2"/>
    </font>
    <font>
      <i/>
      <sz val="9"/>
      <color rgb="FF000000"/>
      <name val="Open Sans"/>
      <family val="2"/>
    </font>
    <font>
      <sz val="14"/>
      <name val="Open Sans"/>
      <family val="2"/>
    </font>
    <font>
      <sz val="10"/>
      <name val="Open Sans"/>
      <family val="2"/>
    </font>
    <font>
      <b/>
      <sz val="10"/>
      <name val="Open Sans"/>
      <family val="2"/>
    </font>
    <font>
      <b/>
      <sz val="11"/>
      <color theme="1"/>
      <name val="Open Sans"/>
      <family val="2"/>
    </font>
    <font>
      <b/>
      <sz val="10"/>
      <color rgb="FF000000"/>
      <name val="Open Sans"/>
      <family val="2"/>
    </font>
    <font>
      <sz val="11"/>
      <name val="Open Sans"/>
      <family val="2"/>
    </font>
    <font>
      <i/>
      <sz val="10"/>
      <color rgb="FF000000"/>
      <name val="Open Sans"/>
      <family val="2"/>
    </font>
    <font>
      <i/>
      <sz val="11"/>
      <color theme="1"/>
      <name val="Calibri"/>
      <family val="2"/>
      <scheme val="minor"/>
    </font>
    <font>
      <vertAlign val="superscript"/>
      <sz val="9"/>
      <name val="Open Sans"/>
      <family val="2"/>
    </font>
    <font>
      <b/>
      <i/>
      <sz val="10"/>
      <color theme="0"/>
      <name val="Open Sans"/>
      <family val="2"/>
    </font>
    <font>
      <i/>
      <sz val="10"/>
      <color rgb="FF000000"/>
      <name val="Open Sans"/>
      <family val="2"/>
    </font>
    <font>
      <i/>
      <sz val="10"/>
      <name val="Open Sans"/>
      <family val="2"/>
    </font>
    <font>
      <b/>
      <sz val="14"/>
      <color rgb="FF0000FF"/>
      <name val="Open Sans"/>
      <family val="2"/>
    </font>
    <font>
      <b/>
      <sz val="9"/>
      <color rgb="FF000000"/>
      <name val="Open Sans"/>
      <family val="2"/>
    </font>
    <font>
      <sz val="8"/>
      <name val="Open Sans"/>
      <family val="2"/>
    </font>
    <font>
      <sz val="10"/>
      <color rgb="FFC32838"/>
      <name val="Open Sans"/>
      <family val="2"/>
    </font>
    <font>
      <sz val="11"/>
      <color rgb="FF000000"/>
      <name val="Open Sans"/>
      <family val="2"/>
    </font>
    <font>
      <vertAlign val="superscript"/>
      <sz val="9"/>
      <color rgb="FF000000"/>
      <name val="Open Sans"/>
      <family val="2"/>
    </font>
    <font>
      <i/>
      <sz val="8"/>
      <color rgb="FF000000"/>
      <name val="Open Sans"/>
      <family val="2"/>
    </font>
    <font>
      <sz val="10"/>
      <color theme="1"/>
      <name val="Open Sans"/>
      <family val="2"/>
    </font>
    <font>
      <sz val="14"/>
      <color rgb="FF000000"/>
      <name val="Open Sans"/>
      <family val="2"/>
    </font>
    <font>
      <vertAlign val="superscript"/>
      <sz val="10"/>
      <color theme="1"/>
      <name val="Open Sans"/>
      <family val="2"/>
    </font>
    <font>
      <b/>
      <sz val="10"/>
      <color theme="1"/>
      <name val="Open Sans"/>
      <family val="2"/>
    </font>
    <font>
      <sz val="11"/>
      <color rgb="FFC32838"/>
      <name val="Open Sans"/>
      <family val="2"/>
    </font>
    <font>
      <sz val="14"/>
      <color rgb="FF555555"/>
      <name val="Open Sans"/>
      <family val="2"/>
    </font>
    <font>
      <i/>
      <sz val="9"/>
      <color theme="1"/>
      <name val="Open Sans"/>
      <family val="2"/>
    </font>
    <font>
      <sz val="10"/>
      <color rgb="FFFF0000"/>
      <name val="Open Sans"/>
      <family val="2"/>
    </font>
    <font>
      <sz val="11"/>
      <color rgb="FF555555"/>
      <name val="Open Sans"/>
      <family val="2"/>
    </font>
    <font>
      <sz val="11"/>
      <color theme="0"/>
      <name val="Open Sans"/>
      <family val="2"/>
    </font>
    <font>
      <i/>
      <sz val="10"/>
      <color theme="4"/>
      <name val="Open Sans"/>
      <family val="2"/>
    </font>
    <font>
      <b/>
      <sz val="20"/>
      <color rgb="FFFFFFFF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0"/>
      <name val="Arial Unicode MS"/>
    </font>
    <font>
      <b/>
      <sz val="10"/>
      <color theme="0"/>
      <name val="Arial Unicode MS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2"/>
      <color theme="10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4"/>
      <name val="Open Sans"/>
      <family val="2"/>
    </font>
    <font>
      <i/>
      <sz val="10"/>
      <color theme="5"/>
      <name val="Open Sans"/>
      <family val="2"/>
    </font>
    <font>
      <sz val="9"/>
      <color theme="0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6F6F6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</fills>
  <borders count="63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3271D2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3271D2"/>
      </left>
      <right/>
      <top style="thin">
        <color rgb="FF3271D2"/>
      </top>
      <bottom/>
      <diagonal/>
    </border>
    <border>
      <left style="thin">
        <color rgb="FF3271D2"/>
      </left>
      <right style="thin">
        <color rgb="FF3271D2"/>
      </right>
      <top style="thin">
        <color rgb="FF3271D2"/>
      </top>
      <bottom/>
      <diagonal/>
    </border>
    <border>
      <left style="thin">
        <color rgb="FF3271D2"/>
      </left>
      <right/>
      <top/>
      <bottom/>
      <diagonal/>
    </border>
    <border>
      <left style="thin">
        <color rgb="FF3271D2"/>
      </left>
      <right style="thin">
        <color rgb="FF3271D2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/>
      <diagonal/>
    </border>
    <border>
      <left/>
      <right/>
      <top/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5"/>
      </left>
      <right/>
      <top style="hair">
        <color theme="5"/>
      </top>
      <bottom/>
      <diagonal/>
    </border>
    <border>
      <left/>
      <right/>
      <top style="hair">
        <color theme="5"/>
      </top>
      <bottom/>
      <diagonal/>
    </border>
    <border>
      <left/>
      <right style="hair">
        <color theme="5"/>
      </right>
      <top style="hair">
        <color theme="5"/>
      </top>
      <bottom/>
      <diagonal/>
    </border>
    <border>
      <left style="hair">
        <color theme="5"/>
      </left>
      <right/>
      <top/>
      <bottom/>
      <diagonal/>
    </border>
    <border>
      <left/>
      <right style="hair">
        <color theme="5"/>
      </right>
      <top/>
      <bottom/>
      <diagonal/>
    </border>
    <border>
      <left style="hair">
        <color theme="5"/>
      </left>
      <right/>
      <top/>
      <bottom style="hair">
        <color theme="5"/>
      </bottom>
      <diagonal/>
    </border>
    <border>
      <left/>
      <right/>
      <top/>
      <bottom style="hair">
        <color theme="5"/>
      </bottom>
      <diagonal/>
    </border>
    <border>
      <left/>
      <right style="hair">
        <color theme="5"/>
      </right>
      <top/>
      <bottom style="hair">
        <color theme="5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hair">
        <color theme="4"/>
      </left>
      <right/>
      <top style="hair">
        <color theme="4"/>
      </top>
      <bottom style="hair">
        <color theme="4"/>
      </bottom>
      <diagonal/>
    </border>
    <border>
      <left/>
      <right/>
      <top style="hair">
        <color theme="4"/>
      </top>
      <bottom style="hair">
        <color theme="4"/>
      </bottom>
      <diagonal/>
    </border>
    <border>
      <left/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/>
      <top style="hair">
        <color theme="4"/>
      </top>
      <bottom/>
      <diagonal/>
    </border>
    <border>
      <left/>
      <right/>
      <top style="hair">
        <color theme="4"/>
      </top>
      <bottom/>
      <diagonal/>
    </border>
    <border>
      <left/>
      <right style="hair">
        <color theme="4"/>
      </right>
      <top style="hair">
        <color theme="4"/>
      </top>
      <bottom/>
      <diagonal/>
    </border>
    <border>
      <left style="hair">
        <color theme="4"/>
      </left>
      <right/>
      <top/>
      <bottom style="hair">
        <color theme="4"/>
      </bottom>
      <diagonal/>
    </border>
    <border>
      <left/>
      <right/>
      <top/>
      <bottom style="hair">
        <color theme="4"/>
      </bottom>
      <diagonal/>
    </border>
    <border>
      <left/>
      <right style="hair">
        <color theme="4"/>
      </right>
      <top/>
      <bottom style="hair">
        <color theme="4"/>
      </bottom>
      <diagonal/>
    </border>
    <border>
      <left style="hair">
        <color theme="4"/>
      </left>
      <right/>
      <top/>
      <bottom/>
      <diagonal/>
    </border>
    <border>
      <left/>
      <right style="hair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hair">
        <color theme="4"/>
      </right>
      <top/>
      <bottom/>
      <diagonal/>
    </border>
    <border>
      <left style="hair">
        <color theme="4"/>
      </left>
      <right style="thin">
        <color theme="4"/>
      </right>
      <top/>
      <bottom/>
      <diagonal/>
    </border>
    <border>
      <left style="thin">
        <color theme="4"/>
      </left>
      <right style="hair">
        <color theme="4"/>
      </right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hair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hair">
        <color theme="4"/>
      </right>
      <top style="thin">
        <color theme="4"/>
      </top>
      <bottom style="thin">
        <color theme="4"/>
      </bottom>
      <diagonal/>
    </border>
    <border>
      <left style="hair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3271D2"/>
      </left>
      <right style="thin">
        <color rgb="FF3271D2"/>
      </right>
      <top/>
      <bottom style="thin">
        <color rgb="FF3271D2"/>
      </bottom>
      <diagonal/>
    </border>
    <border>
      <left style="thin">
        <color rgb="FF3271D2"/>
      </left>
      <right/>
      <top/>
      <bottom style="thin">
        <color rgb="FF3271D2"/>
      </bottom>
      <diagonal/>
    </border>
    <border>
      <left/>
      <right/>
      <top/>
      <bottom style="thin">
        <color rgb="FF3271D2"/>
      </bottom>
      <diagonal/>
    </border>
    <border>
      <left style="thin">
        <color theme="4"/>
      </left>
      <right style="thin">
        <color theme="4"/>
      </right>
      <top style="hair">
        <color theme="4"/>
      </top>
      <bottom style="thin">
        <color theme="4"/>
      </bottom>
      <diagonal/>
    </border>
    <border>
      <left/>
      <right style="hair">
        <color theme="4"/>
      </right>
      <top style="thin">
        <color theme="4"/>
      </top>
      <bottom style="hair">
        <color theme="4"/>
      </bottom>
      <diagonal/>
    </border>
    <border>
      <left/>
      <right/>
      <top style="thin">
        <color theme="4"/>
      </top>
      <bottom style="hair">
        <color theme="4"/>
      </bottom>
      <diagonal/>
    </border>
  </borders>
  <cellStyleXfs count="10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4" fillId="0" borderId="0"/>
    <xf numFmtId="9" fontId="35" fillId="0" borderId="0" applyFont="0" applyFill="0" applyBorder="0" applyAlignment="0" applyProtection="0"/>
    <xf numFmtId="18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5" fillId="0" borderId="0" applyNumberFormat="0" applyFill="0" applyBorder="0" applyAlignment="0" applyProtection="0"/>
  </cellStyleXfs>
  <cellXfs count="50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6" fillId="0" borderId="0" xfId="0" applyFont="1"/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0" fontId="8" fillId="0" borderId="0" xfId="0" applyFont="1"/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9" fillId="0" borderId="0" xfId="0" applyFont="1"/>
    <xf numFmtId="0" fontId="10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11" fillId="0" borderId="0" xfId="0" applyFont="1"/>
    <xf numFmtId="0" fontId="4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37" fontId="1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67" fontId="3" fillId="0" borderId="0" xfId="0" applyNumberFormat="1" applyFont="1"/>
    <xf numFmtId="0" fontId="8" fillId="0" borderId="0" xfId="0" applyFont="1" applyAlignment="1">
      <alignment horizontal="right"/>
    </xf>
    <xf numFmtId="0" fontId="15" fillId="0" borderId="0" xfId="0" applyFont="1"/>
    <xf numFmtId="0" fontId="17" fillId="2" borderId="0" xfId="0" applyFont="1" applyFill="1"/>
    <xf numFmtId="0" fontId="18" fillId="2" borderId="0" xfId="0" applyFont="1" applyFill="1"/>
    <xf numFmtId="0" fontId="17" fillId="3" borderId="0" xfId="0" applyFont="1" applyFill="1"/>
    <xf numFmtId="0" fontId="18" fillId="3" borderId="0" xfId="0" applyFont="1" applyFill="1"/>
    <xf numFmtId="164" fontId="19" fillId="0" borderId="0" xfId="0" applyNumberFormat="1" applyFont="1"/>
    <xf numFmtId="164" fontId="20" fillId="0" borderId="0" xfId="0" applyNumberFormat="1" applyFont="1"/>
    <xf numFmtId="164" fontId="21" fillId="0" borderId="0" xfId="0" applyNumberFormat="1" applyFont="1"/>
    <xf numFmtId="164" fontId="12" fillId="0" borderId="0" xfId="0" applyNumberFormat="1" applyFont="1"/>
    <xf numFmtId="0" fontId="2" fillId="0" borderId="0" xfId="0" applyFont="1" applyAlignment="1">
      <alignment horizontal="center"/>
    </xf>
    <xf numFmtId="0" fontId="16" fillId="0" borderId="0" xfId="0" applyFont="1" applyAlignment="1">
      <alignment horizontal="left" indent="1"/>
    </xf>
    <xf numFmtId="0" fontId="9" fillId="0" borderId="0" xfId="0" applyFont="1" applyAlignment="1">
      <alignment horizontal="left"/>
    </xf>
    <xf numFmtId="165" fontId="18" fillId="2" borderId="0" xfId="0" applyNumberFormat="1" applyFont="1" applyFill="1"/>
    <xf numFmtId="165" fontId="25" fillId="0" borderId="0" xfId="0" applyNumberFormat="1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vertical="center"/>
    </xf>
    <xf numFmtId="165" fontId="29" fillId="0" borderId="0" xfId="0" applyNumberFormat="1" applyFont="1" applyAlignment="1">
      <alignment horizontal="right" vertical="center"/>
    </xf>
    <xf numFmtId="0" fontId="30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27" fillId="0" borderId="9" xfId="0" applyFont="1" applyBorder="1" applyAlignment="1">
      <alignment horizontal="left" vertical="center" indent="1"/>
    </xf>
    <xf numFmtId="0" fontId="27" fillId="0" borderId="9" xfId="0" applyFont="1" applyBorder="1" applyAlignment="1">
      <alignment vertical="center"/>
    </xf>
    <xf numFmtId="0" fontId="27" fillId="0" borderId="0" xfId="0" applyFont="1" applyAlignment="1">
      <alignment horizontal="left" indent="1"/>
    </xf>
    <xf numFmtId="171" fontId="31" fillId="0" borderId="0" xfId="2" applyNumberFormat="1" applyFont="1" applyFill="1" applyBorder="1" applyAlignment="1">
      <alignment vertical="center"/>
    </xf>
    <xf numFmtId="0" fontId="27" fillId="0" borderId="0" xfId="0" applyFont="1" applyAlignment="1">
      <alignment horizontal="left" vertical="center" indent="1"/>
    </xf>
    <xf numFmtId="169" fontId="28" fillId="0" borderId="0" xfId="3" applyNumberFormat="1" applyFont="1" applyAlignment="1" applyProtection="1">
      <alignment vertical="center"/>
      <protection locked="0"/>
    </xf>
    <xf numFmtId="167" fontId="31" fillId="0" borderId="0" xfId="0" applyNumberFormat="1" applyFont="1" applyAlignment="1">
      <alignment vertical="center"/>
    </xf>
    <xf numFmtId="169" fontId="32" fillId="0" borderId="0" xfId="3" applyNumberFormat="1" applyFont="1" applyFill="1" applyBorder="1" applyAlignment="1" applyProtection="1">
      <alignment vertical="center"/>
      <protection locked="0"/>
    </xf>
    <xf numFmtId="170" fontId="31" fillId="0" borderId="0" xfId="2" applyNumberFormat="1" applyFont="1" applyFill="1" applyBorder="1" applyAlignment="1">
      <alignment horizontal="right" vertical="center"/>
    </xf>
    <xf numFmtId="167" fontId="31" fillId="0" borderId="0" xfId="4" applyNumberFormat="1" applyFont="1" applyFill="1" applyBorder="1" applyAlignment="1">
      <alignment vertical="center"/>
    </xf>
    <xf numFmtId="167" fontId="31" fillId="0" borderId="0" xfId="4" applyNumberFormat="1" applyFont="1"/>
    <xf numFmtId="171" fontId="31" fillId="0" borderId="9" xfId="2" applyNumberFormat="1" applyFont="1" applyFill="1" applyBorder="1" applyAlignment="1">
      <alignment vertical="center"/>
    </xf>
    <xf numFmtId="172" fontId="31" fillId="0" borderId="0" xfId="4" applyNumberFormat="1" applyFont="1" applyFill="1" applyBorder="1" applyAlignment="1">
      <alignment vertical="center"/>
    </xf>
    <xf numFmtId="165" fontId="33" fillId="2" borderId="0" xfId="0" applyNumberFormat="1" applyFont="1" applyFill="1"/>
    <xf numFmtId="164" fontId="0" fillId="0" borderId="0" xfId="0" applyNumberFormat="1"/>
    <xf numFmtId="166" fontId="0" fillId="0" borderId="0" xfId="0" applyNumberFormat="1"/>
    <xf numFmtId="0" fontId="18" fillId="3" borderId="0" xfId="0" applyFont="1" applyFill="1" applyAlignment="1">
      <alignment horizontal="center"/>
    </xf>
    <xf numFmtId="0" fontId="9" fillId="0" borderId="0" xfId="5" applyFont="1"/>
    <xf numFmtId="37" fontId="23" fillId="0" borderId="0" xfId="0" applyNumberFormat="1" applyFont="1" applyAlignment="1">
      <alignment vertical="center"/>
    </xf>
    <xf numFmtId="165" fontId="14" fillId="0" borderId="0" xfId="0" applyNumberFormat="1" applyFont="1" applyAlignment="1">
      <alignment horizontal="right"/>
    </xf>
    <xf numFmtId="0" fontId="3" fillId="0" borderId="0" xfId="0" applyFont="1" applyAlignment="1">
      <alignment vertical="center"/>
    </xf>
    <xf numFmtId="0" fontId="31" fillId="0" borderId="0" xfId="0" applyFont="1" applyAlignment="1">
      <alignment horizontal="left" vertical="center" indent="2"/>
    </xf>
    <xf numFmtId="0" fontId="9" fillId="0" borderId="0" xfId="0" applyFont="1" applyAlignment="1">
      <alignment vertical="center"/>
    </xf>
    <xf numFmtId="170" fontId="31" fillId="0" borderId="1" xfId="0" applyNumberFormat="1" applyFont="1" applyBorder="1" applyAlignment="1">
      <alignment vertical="center"/>
    </xf>
    <xf numFmtId="170" fontId="31" fillId="0" borderId="2" xfId="0" applyNumberFormat="1" applyFont="1" applyBorder="1" applyAlignment="1">
      <alignment vertical="center"/>
    </xf>
    <xf numFmtId="170" fontId="31" fillId="0" borderId="3" xfId="0" applyNumberFormat="1" applyFont="1" applyBorder="1" applyAlignment="1">
      <alignment vertical="center"/>
    </xf>
    <xf numFmtId="170" fontId="31" fillId="0" borderId="4" xfId="0" applyNumberFormat="1" applyFont="1" applyBorder="1" applyAlignment="1">
      <alignment vertical="center"/>
    </xf>
    <xf numFmtId="170" fontId="31" fillId="0" borderId="0" xfId="0" applyNumberFormat="1" applyFont="1" applyAlignment="1">
      <alignment vertical="center"/>
    </xf>
    <xf numFmtId="170" fontId="31" fillId="0" borderId="5" xfId="0" applyNumberFormat="1" applyFont="1" applyBorder="1" applyAlignment="1">
      <alignment vertical="center"/>
    </xf>
    <xf numFmtId="170" fontId="31" fillId="0" borderId="6" xfId="0" applyNumberFormat="1" applyFont="1" applyBorder="1" applyAlignment="1">
      <alignment vertical="center"/>
    </xf>
    <xf numFmtId="170" fontId="31" fillId="0" borderId="7" xfId="0" applyNumberFormat="1" applyFont="1" applyBorder="1" applyAlignment="1">
      <alignment vertical="center"/>
    </xf>
    <xf numFmtId="170" fontId="31" fillId="0" borderId="8" xfId="0" applyNumberFormat="1" applyFont="1" applyBorder="1" applyAlignment="1">
      <alignment vertical="center"/>
    </xf>
    <xf numFmtId="1" fontId="8" fillId="0" borderId="0" xfId="0" applyNumberFormat="1" applyFont="1" applyAlignment="1">
      <alignment horizontal="right"/>
    </xf>
    <xf numFmtId="174" fontId="4" fillId="4" borderId="10" xfId="2" applyNumberFormat="1" applyFont="1" applyFill="1" applyBorder="1" applyAlignment="1">
      <alignment vertical="center"/>
    </xf>
    <xf numFmtId="174" fontId="4" fillId="4" borderId="11" xfId="2" applyNumberFormat="1" applyFont="1" applyFill="1" applyBorder="1" applyAlignment="1">
      <alignment vertical="center"/>
    </xf>
    <xf numFmtId="174" fontId="4" fillId="4" borderId="12" xfId="2" applyNumberFormat="1" applyFont="1" applyFill="1" applyBorder="1" applyAlignment="1">
      <alignment vertical="center"/>
    </xf>
    <xf numFmtId="0" fontId="37" fillId="0" borderId="0" xfId="0" applyFont="1"/>
    <xf numFmtId="165" fontId="21" fillId="0" borderId="13" xfId="0" applyNumberFormat="1" applyFont="1" applyBorder="1" applyAlignment="1">
      <alignment horizontal="right"/>
    </xf>
    <xf numFmtId="164" fontId="2" fillId="0" borderId="0" xfId="0" applyNumberFormat="1" applyFont="1"/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175" fontId="38" fillId="0" borderId="0" xfId="0" applyNumberFormat="1" applyFont="1" applyAlignment="1">
      <alignment vertical="center"/>
    </xf>
    <xf numFmtId="9" fontId="8" fillId="0" borderId="0" xfId="2" applyFont="1" applyBorder="1" applyAlignment="1">
      <alignment horizontal="right"/>
    </xf>
    <xf numFmtId="49" fontId="9" fillId="0" borderId="0" xfId="0" applyNumberFormat="1" applyFont="1" applyAlignment="1">
      <alignment horizontal="left"/>
    </xf>
    <xf numFmtId="167" fontId="31" fillId="0" borderId="0" xfId="0" applyNumberFormat="1" applyFont="1"/>
    <xf numFmtId="176" fontId="9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37" fontId="40" fillId="0" borderId="0" xfId="0" applyNumberFormat="1" applyFont="1" applyAlignment="1">
      <alignment vertical="center"/>
    </xf>
    <xf numFmtId="0" fontId="8" fillId="0" borderId="0" xfId="0" applyFont="1" applyAlignment="1">
      <alignment horizontal="centerContinuous"/>
    </xf>
    <xf numFmtId="166" fontId="8" fillId="0" borderId="0" xfId="0" applyNumberFormat="1" applyFont="1" applyAlignment="1">
      <alignment horizontal="centerContinuous"/>
    </xf>
    <xf numFmtId="37" fontId="40" fillId="0" borderId="0" xfId="0" applyNumberFormat="1" applyFont="1" applyAlignment="1">
      <alignment horizontal="centerContinuous" vertical="center"/>
    </xf>
    <xf numFmtId="165" fontId="8" fillId="0" borderId="0" xfId="0" applyNumberFormat="1" applyFont="1" applyAlignment="1">
      <alignment horizontal="left"/>
    </xf>
    <xf numFmtId="177" fontId="8" fillId="0" borderId="0" xfId="0" applyNumberFormat="1" applyFont="1" applyAlignment="1">
      <alignment horizontal="right"/>
    </xf>
    <xf numFmtId="172" fontId="41" fillId="0" borderId="0" xfId="2" applyNumberFormat="1" applyFont="1" applyBorder="1" applyAlignment="1">
      <alignment horizontal="right"/>
    </xf>
    <xf numFmtId="171" fontId="3" fillId="0" borderId="0" xfId="0" applyNumberFormat="1" applyFont="1" applyAlignment="1">
      <alignment horizontal="right"/>
    </xf>
    <xf numFmtId="178" fontId="8" fillId="0" borderId="0" xfId="0" applyNumberFormat="1" applyFont="1" applyAlignment="1">
      <alignment horizontal="right"/>
    </xf>
    <xf numFmtId="0" fontId="33" fillId="2" borderId="0" xfId="0" applyFont="1" applyFill="1"/>
    <xf numFmtId="0" fontId="42" fillId="2" borderId="0" xfId="0" applyFont="1" applyFill="1"/>
    <xf numFmtId="9" fontId="31" fillId="0" borderId="0" xfId="2" applyFont="1" applyFill="1" applyBorder="1" applyAlignment="1">
      <alignment vertical="center"/>
    </xf>
    <xf numFmtId="173" fontId="3" fillId="0" borderId="0" xfId="0" applyNumberFormat="1" applyFont="1"/>
    <xf numFmtId="0" fontId="44" fillId="3" borderId="0" xfId="0" applyFont="1" applyFill="1"/>
    <xf numFmtId="166" fontId="33" fillId="5" borderId="0" xfId="0" applyNumberFormat="1" applyFont="1" applyFill="1"/>
    <xf numFmtId="166" fontId="18" fillId="5" borderId="0" xfId="0" applyNumberFormat="1" applyFont="1" applyFill="1"/>
    <xf numFmtId="0" fontId="21" fillId="0" borderId="0" xfId="0" applyFont="1"/>
    <xf numFmtId="1" fontId="0" fillId="0" borderId="0" xfId="0" applyNumberFormat="1"/>
    <xf numFmtId="1" fontId="21" fillId="0" borderId="0" xfId="0" applyNumberFormat="1" applyFont="1"/>
    <xf numFmtId="0" fontId="45" fillId="0" borderId="0" xfId="0" applyFont="1" applyAlignment="1">
      <alignment horizontal="left"/>
    </xf>
    <xf numFmtId="37" fontId="45" fillId="0" borderId="0" xfId="0" applyNumberFormat="1" applyFont="1" applyAlignment="1">
      <alignment vertical="center"/>
    </xf>
    <xf numFmtId="0" fontId="46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0" fontId="46" fillId="0" borderId="0" xfId="0" applyFont="1" applyAlignment="1">
      <alignment horizontal="left" indent="1"/>
    </xf>
    <xf numFmtId="0" fontId="47" fillId="0" borderId="0" xfId="0" applyFont="1"/>
    <xf numFmtId="165" fontId="45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164" fontId="3" fillId="0" borderId="0" xfId="0" applyNumberFormat="1" applyFont="1"/>
    <xf numFmtId="164" fontId="15" fillId="0" borderId="0" xfId="0" applyNumberFormat="1" applyFont="1"/>
    <xf numFmtId="164" fontId="8" fillId="0" borderId="0" xfId="0" applyNumberFormat="1" applyFont="1" applyAlignment="1">
      <alignment horizontal="right"/>
    </xf>
    <xf numFmtId="174" fontId="41" fillId="0" borderId="0" xfId="2" applyNumberFormat="1" applyFont="1" applyBorder="1"/>
    <xf numFmtId="167" fontId="8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left" indent="1"/>
    </xf>
    <xf numFmtId="173" fontId="31" fillId="0" borderId="0" xfId="0" applyNumberFormat="1" applyFont="1"/>
    <xf numFmtId="167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37" fontId="8" fillId="0" borderId="0" xfId="0" applyNumberFormat="1" applyFont="1" applyAlignment="1">
      <alignment vertical="center"/>
    </xf>
    <xf numFmtId="0" fontId="21" fillId="3" borderId="0" xfId="0" applyFont="1" applyFill="1"/>
    <xf numFmtId="0" fontId="20" fillId="2" borderId="0" xfId="0" applyFont="1" applyFill="1"/>
    <xf numFmtId="37" fontId="50" fillId="0" borderId="0" xfId="0" applyNumberFormat="1" applyFont="1" applyAlignment="1">
      <alignment vertical="center"/>
    </xf>
    <xf numFmtId="0" fontId="20" fillId="0" borderId="0" xfId="0" applyFont="1"/>
    <xf numFmtId="0" fontId="52" fillId="0" borderId="0" xfId="0" applyFont="1" applyAlignment="1">
      <alignment horizontal="left" indent="1"/>
    </xf>
    <xf numFmtId="0" fontId="52" fillId="0" borderId="0" xfId="0" applyFont="1" applyAlignment="1">
      <alignment horizontal="left"/>
    </xf>
    <xf numFmtId="0" fontId="53" fillId="0" borderId="0" xfId="0" applyFont="1"/>
    <xf numFmtId="165" fontId="52" fillId="0" borderId="0" xfId="0" applyNumberFormat="1" applyFont="1" applyAlignment="1">
      <alignment horizontal="right"/>
    </xf>
    <xf numFmtId="0" fontId="17" fillId="0" borderId="0" xfId="0" applyFont="1"/>
    <xf numFmtId="0" fontId="18" fillId="0" borderId="0" xfId="0" applyFont="1"/>
    <xf numFmtId="165" fontId="18" fillId="0" borderId="0" xfId="0" applyNumberFormat="1" applyFont="1"/>
    <xf numFmtId="166" fontId="18" fillId="0" borderId="0" xfId="0" applyNumberFormat="1" applyFont="1"/>
    <xf numFmtId="0" fontId="55" fillId="0" borderId="0" xfId="0" applyFont="1"/>
    <xf numFmtId="0" fontId="51" fillId="0" borderId="0" xfId="0" applyFont="1" applyAlignment="1">
      <alignment horizontal="left" indent="1"/>
    </xf>
    <xf numFmtId="0" fontId="56" fillId="0" borderId="0" xfId="0" applyFont="1" applyAlignment="1">
      <alignment horizontal="left" indent="1"/>
    </xf>
    <xf numFmtId="164" fontId="8" fillId="0" borderId="0" xfId="0" applyNumberFormat="1" applyFont="1"/>
    <xf numFmtId="164" fontId="9" fillId="0" borderId="0" xfId="0" applyNumberFormat="1" applyFont="1" applyAlignment="1">
      <alignment horizontal="left" indent="1"/>
    </xf>
    <xf numFmtId="164" fontId="0" fillId="0" borderId="0" xfId="0" applyNumberFormat="1" applyAlignment="1">
      <alignment horizontal="left" indent="1"/>
    </xf>
    <xf numFmtId="164" fontId="16" fillId="0" borderId="0" xfId="0" applyNumberFormat="1" applyFont="1" applyAlignment="1">
      <alignment horizontal="left" indent="1"/>
    </xf>
    <xf numFmtId="164" fontId="9" fillId="0" borderId="0" xfId="0" applyNumberFormat="1" applyFont="1" applyAlignment="1">
      <alignment horizontal="left" indent="2"/>
    </xf>
    <xf numFmtId="164" fontId="9" fillId="0" borderId="0" xfId="0" applyNumberFormat="1" applyFont="1"/>
    <xf numFmtId="0" fontId="57" fillId="0" borderId="0" xfId="0" applyFont="1" applyAlignment="1">
      <alignment horizontal="left" indent="1"/>
    </xf>
    <xf numFmtId="167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73" fontId="4" fillId="0" borderId="0" xfId="0" applyNumberFormat="1" applyFont="1"/>
    <xf numFmtId="182" fontId="31" fillId="0" borderId="0" xfId="0" applyNumberFormat="1" applyFont="1" applyAlignment="1">
      <alignment horizontal="right"/>
    </xf>
    <xf numFmtId="37" fontId="59" fillId="0" borderId="0" xfId="0" applyNumberFormat="1" applyFont="1" applyAlignment="1">
      <alignment vertical="center"/>
    </xf>
    <xf numFmtId="173" fontId="60" fillId="0" borderId="0" xfId="0" applyNumberFormat="1" applyFont="1"/>
    <xf numFmtId="0" fontId="61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37" fontId="62" fillId="0" borderId="0" xfId="0" applyNumberFormat="1" applyFont="1" applyAlignment="1">
      <alignment vertical="center"/>
    </xf>
    <xf numFmtId="167" fontId="63" fillId="0" borderId="14" xfId="0" applyNumberFormat="1" applyFont="1" applyBorder="1" applyAlignment="1">
      <alignment horizontal="center"/>
    </xf>
    <xf numFmtId="167" fontId="63" fillId="0" borderId="14" xfId="0" applyNumberFormat="1" applyFont="1" applyBorder="1" applyAlignment="1">
      <alignment horizontal="centerContinuous"/>
    </xf>
    <xf numFmtId="165" fontId="63" fillId="0" borderId="9" xfId="0" applyNumberFormat="1" applyFont="1" applyBorder="1" applyAlignment="1">
      <alignment horizontal="centerContinuous"/>
    </xf>
    <xf numFmtId="167" fontId="63" fillId="0" borderId="15" xfId="0" applyNumberFormat="1" applyFont="1" applyBorder="1" applyAlignment="1">
      <alignment horizontal="center"/>
    </xf>
    <xf numFmtId="0" fontId="64" fillId="0" borderId="14" xfId="0" applyFont="1" applyBorder="1" applyAlignment="1">
      <alignment horizontal="center"/>
    </xf>
    <xf numFmtId="0" fontId="64" fillId="0" borderId="9" xfId="0" applyFont="1" applyBorder="1" applyAlignment="1">
      <alignment horizontal="center"/>
    </xf>
    <xf numFmtId="0" fontId="64" fillId="0" borderId="15" xfId="0" applyFont="1" applyBorder="1" applyAlignment="1">
      <alignment horizontal="center"/>
    </xf>
    <xf numFmtId="167" fontId="63" fillId="0" borderId="0" xfId="0" applyNumberFormat="1" applyFont="1" applyAlignment="1">
      <alignment horizontal="left"/>
    </xf>
    <xf numFmtId="183" fontId="3" fillId="0" borderId="16" xfId="0" applyNumberFormat="1" applyFont="1" applyBorder="1" applyAlignment="1">
      <alignment horizontal="center"/>
    </xf>
    <xf numFmtId="184" fontId="65" fillId="0" borderId="0" xfId="2" applyNumberFormat="1" applyFont="1" applyFill="1" applyBorder="1" applyAlignment="1">
      <alignment horizontal="right"/>
    </xf>
    <xf numFmtId="9" fontId="3" fillId="0" borderId="0" xfId="0" applyNumberFormat="1" applyFont="1"/>
    <xf numFmtId="170" fontId="3" fillId="0" borderId="0" xfId="4" applyNumberFormat="1" applyFont="1" applyFill="1" applyBorder="1" applyAlignment="1">
      <alignment horizontal="right"/>
    </xf>
    <xf numFmtId="0" fontId="66" fillId="0" borderId="0" xfId="0" applyFont="1"/>
    <xf numFmtId="185" fontId="0" fillId="0" borderId="0" xfId="0" applyNumberFormat="1"/>
    <xf numFmtId="14" fontId="0" fillId="0" borderId="0" xfId="0" applyNumberFormat="1"/>
    <xf numFmtId="0" fontId="15" fillId="0" borderId="0" xfId="0" applyFont="1" applyAlignment="1">
      <alignment vertical="center"/>
    </xf>
    <xf numFmtId="49" fontId="27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horizontal="left"/>
    </xf>
    <xf numFmtId="37" fontId="70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right"/>
    </xf>
    <xf numFmtId="0" fontId="15" fillId="0" borderId="7" xfId="0" applyFont="1" applyBorder="1"/>
    <xf numFmtId="186" fontId="31" fillId="0" borderId="0" xfId="4" applyNumberFormat="1" applyFont="1" applyFill="1" applyBorder="1" applyAlignment="1">
      <alignment vertical="center"/>
    </xf>
    <xf numFmtId="0" fontId="15" fillId="0" borderId="0" xfId="0" applyFont="1" applyAlignment="1">
      <alignment horizontal="centerContinuous"/>
    </xf>
    <xf numFmtId="0" fontId="15" fillId="0" borderId="9" xfId="0" applyFont="1" applyBorder="1"/>
    <xf numFmtId="0" fontId="28" fillId="0" borderId="0" xfId="0" applyFont="1" applyAlignment="1">
      <alignment vertical="center"/>
    </xf>
    <xf numFmtId="170" fontId="3" fillId="0" borderId="0" xfId="2" applyNumberFormat="1" applyFont="1" applyFill="1" applyBorder="1" applyAlignment="1">
      <alignment horizontal="right" vertical="center"/>
    </xf>
    <xf numFmtId="0" fontId="73" fillId="0" borderId="0" xfId="0" applyFont="1"/>
    <xf numFmtId="37" fontId="74" fillId="0" borderId="0" xfId="0" applyNumberFormat="1" applyFont="1" applyAlignment="1">
      <alignment vertical="center"/>
    </xf>
    <xf numFmtId="0" fontId="75" fillId="0" borderId="0" xfId="0" quotePrefix="1" applyFont="1" applyAlignment="1">
      <alignment horizontal="center" vertical="center"/>
    </xf>
    <xf numFmtId="0" fontId="76" fillId="0" borderId="0" xfId="0" applyFont="1" applyAlignment="1">
      <alignment horizontal="left"/>
    </xf>
    <xf numFmtId="0" fontId="77" fillId="0" borderId="0" xfId="0" applyFont="1"/>
    <xf numFmtId="0" fontId="3" fillId="0" borderId="0" xfId="0" applyFont="1"/>
    <xf numFmtId="0" fontId="49" fillId="0" borderId="0" xfId="0" quotePrefix="1" applyFont="1" applyAlignment="1">
      <alignment horizontal="center" vertical="center"/>
    </xf>
    <xf numFmtId="0" fontId="72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66" fillId="0" borderId="0" xfId="0" applyFont="1" applyAlignment="1">
      <alignment horizontal="centerContinuous"/>
    </xf>
    <xf numFmtId="0" fontId="66" fillId="0" borderId="9" xfId="0" applyFont="1" applyBorder="1"/>
    <xf numFmtId="0" fontId="15" fillId="0" borderId="0" xfId="0" applyFont="1" applyAlignment="1">
      <alignment horizontal="left"/>
    </xf>
    <xf numFmtId="0" fontId="78" fillId="0" borderId="0" xfId="0" applyFont="1" applyAlignment="1">
      <alignment horizontal="left"/>
    </xf>
    <xf numFmtId="0" fontId="27" fillId="0" borderId="0" xfId="0" applyFont="1" applyAlignment="1">
      <alignment horizontal="centerContinuous" vertical="center"/>
    </xf>
    <xf numFmtId="0" fontId="66" fillId="0" borderId="0" xfId="0" applyFont="1" applyAlignment="1">
      <alignment horizontal="left"/>
    </xf>
    <xf numFmtId="0" fontId="3" fillId="0" borderId="0" xfId="0" applyFont="1" applyAlignment="1">
      <alignment horizontal="centerContinuous" vertical="center"/>
    </xf>
    <xf numFmtId="170" fontId="60" fillId="0" borderId="0" xfId="2" applyNumberFormat="1" applyFont="1" applyFill="1" applyBorder="1" applyAlignment="1">
      <alignment horizontal="right" vertical="center"/>
    </xf>
    <xf numFmtId="182" fontId="3" fillId="0" borderId="0" xfId="0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 textRotation="90"/>
    </xf>
    <xf numFmtId="167" fontId="3" fillId="0" borderId="0" xfId="4" applyNumberFormat="1" applyFont="1" applyBorder="1" applyAlignment="1">
      <alignment vertical="center"/>
    </xf>
    <xf numFmtId="170" fontId="3" fillId="0" borderId="0" xfId="4" applyNumberFormat="1" applyFont="1" applyBorder="1" applyAlignment="1">
      <alignment horizontal="right" vertical="center"/>
    </xf>
    <xf numFmtId="186" fontId="3" fillId="0" borderId="0" xfId="2" applyNumberFormat="1" applyFont="1" applyFill="1" applyBorder="1" applyAlignment="1">
      <alignment horizontal="right" vertical="center"/>
    </xf>
    <xf numFmtId="186" fontId="60" fillId="0" borderId="0" xfId="2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centerContinuous"/>
    </xf>
    <xf numFmtId="170" fontId="79" fillId="0" borderId="0" xfId="2" applyNumberFormat="1" applyFont="1" applyFill="1" applyBorder="1" applyAlignment="1">
      <alignment horizontal="right" vertical="center"/>
    </xf>
    <xf numFmtId="186" fontId="79" fillId="0" borderId="0" xfId="2" applyNumberFormat="1" applyFont="1" applyFill="1" applyBorder="1" applyAlignment="1">
      <alignment horizontal="right" vertical="center"/>
    </xf>
    <xf numFmtId="0" fontId="72" fillId="0" borderId="0" xfId="1" applyFont="1"/>
    <xf numFmtId="0" fontId="27" fillId="0" borderId="0" xfId="1" applyFont="1"/>
    <xf numFmtId="0" fontId="27" fillId="0" borderId="0" xfId="1" applyFont="1" applyAlignment="1">
      <alignment horizontal="left" indent="1"/>
    </xf>
    <xf numFmtId="171" fontId="60" fillId="0" borderId="0" xfId="2" applyNumberFormat="1" applyFont="1" applyFill="1" applyBorder="1" applyAlignment="1">
      <alignment horizontal="right" vertical="center"/>
    </xf>
    <xf numFmtId="0" fontId="80" fillId="6" borderId="0" xfId="0" applyFont="1" applyFill="1"/>
    <xf numFmtId="0" fontId="81" fillId="0" borderId="0" xfId="0" applyFont="1"/>
    <xf numFmtId="0" fontId="0" fillId="2" borderId="0" xfId="0" applyFill="1"/>
    <xf numFmtId="0" fontId="0" fillId="8" borderId="0" xfId="0" applyFill="1"/>
    <xf numFmtId="0" fontId="0" fillId="3" borderId="0" xfId="0" applyFill="1"/>
    <xf numFmtId="0" fontId="2" fillId="3" borderId="0" xfId="0" applyFont="1" applyFill="1"/>
    <xf numFmtId="0" fontId="83" fillId="3" borderId="0" xfId="0" applyFont="1" applyFill="1" applyAlignment="1">
      <alignment vertical="center"/>
    </xf>
    <xf numFmtId="0" fontId="84" fillId="3" borderId="0" xfId="0" applyFont="1" applyFill="1" applyAlignment="1">
      <alignment vertical="center"/>
    </xf>
    <xf numFmtId="188" fontId="44" fillId="3" borderId="0" xfId="0" applyNumberFormat="1" applyFont="1" applyFill="1"/>
    <xf numFmtId="0" fontId="18" fillId="3" borderId="0" xfId="0" applyFont="1" applyFill="1" applyAlignment="1">
      <alignment horizontal="right"/>
    </xf>
    <xf numFmtId="0" fontId="2" fillId="8" borderId="0" xfId="0" applyFont="1" applyFill="1"/>
    <xf numFmtId="0" fontId="88" fillId="0" borderId="0" xfId="0" applyFont="1" applyAlignment="1">
      <alignment horizontal="left" indent="1"/>
    </xf>
    <xf numFmtId="0" fontId="37" fillId="8" borderId="0" xfId="0" applyFont="1" applyFill="1" applyAlignment="1">
      <alignment vertical="center"/>
    </xf>
    <xf numFmtId="0" fontId="37" fillId="2" borderId="0" xfId="0" applyFont="1" applyFill="1" applyAlignment="1">
      <alignment vertical="center"/>
    </xf>
    <xf numFmtId="188" fontId="0" fillId="8" borderId="22" xfId="0" applyNumberFormat="1" applyFill="1" applyBorder="1" applyAlignment="1">
      <alignment vertical="center"/>
    </xf>
    <xf numFmtId="188" fontId="0" fillId="8" borderId="23" xfId="0" applyNumberFormat="1" applyFill="1" applyBorder="1" applyAlignment="1">
      <alignment vertical="center"/>
    </xf>
    <xf numFmtId="0" fontId="0" fillId="8" borderId="25" xfId="0" applyFill="1" applyBorder="1"/>
    <xf numFmtId="0" fontId="0" fillId="8" borderId="26" xfId="0" applyFill="1" applyBorder="1"/>
    <xf numFmtId="0" fontId="0" fillId="8" borderId="28" xfId="0" applyFill="1" applyBorder="1"/>
    <xf numFmtId="0" fontId="0" fillId="8" borderId="30" xfId="0" applyFill="1" applyBorder="1"/>
    <xf numFmtId="0" fontId="0" fillId="8" borderId="31" xfId="0" applyFill="1" applyBorder="1"/>
    <xf numFmtId="0" fontId="90" fillId="8" borderId="24" xfId="0" applyFont="1" applyFill="1" applyBorder="1" applyAlignment="1">
      <alignment horizontal="left" indent="1"/>
    </xf>
    <xf numFmtId="0" fontId="0" fillId="8" borderId="27" xfId="0" applyFill="1" applyBorder="1" applyAlignment="1">
      <alignment horizontal="left" indent="1"/>
    </xf>
    <xf numFmtId="0" fontId="0" fillId="8" borderId="29" xfId="0" applyFill="1" applyBorder="1" applyAlignment="1">
      <alignment horizontal="left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left" vertical="center" indent="1"/>
    </xf>
    <xf numFmtId="2" fontId="0" fillId="0" borderId="0" xfId="0" applyNumberFormat="1" applyAlignment="1">
      <alignment horizontal="left" indent="1"/>
    </xf>
    <xf numFmtId="0" fontId="81" fillId="9" borderId="0" xfId="0" applyFont="1" applyFill="1"/>
    <xf numFmtId="0" fontId="0" fillId="9" borderId="0" xfId="0" applyFill="1"/>
    <xf numFmtId="0" fontId="89" fillId="9" borderId="0" xfId="0" applyFont="1" applyFill="1"/>
    <xf numFmtId="164" fontId="27" fillId="0" borderId="0" xfId="1" applyNumberFormat="1" applyFont="1"/>
    <xf numFmtId="174" fontId="0" fillId="0" borderId="0" xfId="0" applyNumberFormat="1"/>
    <xf numFmtId="174" fontId="3" fillId="0" borderId="0" xfId="2" applyNumberFormat="1" applyFont="1" applyFill="1" applyAlignment="1">
      <alignment horizontal="right"/>
    </xf>
    <xf numFmtId="0" fontId="30" fillId="0" borderId="0" xfId="0" quotePrefix="1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178" fontId="91" fillId="7" borderId="0" xfId="0" applyNumberFormat="1" applyFont="1" applyFill="1"/>
    <xf numFmtId="37" fontId="22" fillId="10" borderId="0" xfId="0" applyNumberFormat="1" applyFont="1" applyFill="1" applyAlignment="1">
      <alignment vertical="center"/>
    </xf>
    <xf numFmtId="37" fontId="14" fillId="10" borderId="0" xfId="0" applyNumberFormat="1" applyFont="1" applyFill="1" applyAlignment="1">
      <alignment vertical="center"/>
    </xf>
    <xf numFmtId="37" fontId="23" fillId="10" borderId="0" xfId="0" applyNumberFormat="1" applyFont="1" applyFill="1" applyAlignment="1">
      <alignment vertical="center"/>
    </xf>
    <xf numFmtId="165" fontId="14" fillId="10" borderId="0" xfId="0" applyNumberFormat="1" applyFont="1" applyFill="1" applyAlignment="1">
      <alignment horizontal="right"/>
    </xf>
    <xf numFmtId="174" fontId="4" fillId="4" borderId="19" xfId="2" applyNumberFormat="1" applyFont="1" applyFill="1" applyBorder="1" applyAlignment="1">
      <alignment vertical="center"/>
    </xf>
    <xf numFmtId="0" fontId="7" fillId="9" borderId="0" xfId="0" applyFont="1" applyFill="1"/>
    <xf numFmtId="0" fontId="2" fillId="9" borderId="0" xfId="0" applyFont="1" applyFill="1"/>
    <xf numFmtId="179" fontId="4" fillId="4" borderId="10" xfId="2" applyNumberFormat="1" applyFont="1" applyFill="1" applyBorder="1" applyAlignment="1">
      <alignment vertical="center"/>
    </xf>
    <xf numFmtId="179" fontId="4" fillId="4" borderId="11" xfId="2" applyNumberFormat="1" applyFont="1" applyFill="1" applyBorder="1" applyAlignment="1">
      <alignment vertical="center"/>
    </xf>
    <xf numFmtId="179" fontId="4" fillId="4" borderId="12" xfId="2" applyNumberFormat="1" applyFont="1" applyFill="1" applyBorder="1" applyAlignment="1">
      <alignment vertical="center"/>
    </xf>
    <xf numFmtId="179" fontId="31" fillId="0" borderId="1" xfId="0" applyNumberFormat="1" applyFont="1" applyBorder="1" applyAlignment="1">
      <alignment vertical="center"/>
    </xf>
    <xf numFmtId="179" fontId="31" fillId="0" borderId="2" xfId="0" applyNumberFormat="1" applyFont="1" applyBorder="1" applyAlignment="1">
      <alignment vertical="center"/>
    </xf>
    <xf numFmtId="179" fontId="31" fillId="0" borderId="3" xfId="0" applyNumberFormat="1" applyFont="1" applyBorder="1" applyAlignment="1">
      <alignment vertical="center"/>
    </xf>
    <xf numFmtId="179" fontId="31" fillId="0" borderId="4" xfId="0" applyNumberFormat="1" applyFont="1" applyBorder="1" applyAlignment="1">
      <alignment vertical="center"/>
    </xf>
    <xf numFmtId="179" fontId="31" fillId="0" borderId="0" xfId="0" applyNumberFormat="1" applyFont="1" applyAlignment="1">
      <alignment vertical="center"/>
    </xf>
    <xf numFmtId="179" fontId="31" fillId="0" borderId="5" xfId="0" applyNumberFormat="1" applyFont="1" applyBorder="1" applyAlignment="1">
      <alignment vertical="center"/>
    </xf>
    <xf numFmtId="179" fontId="31" fillId="0" borderId="6" xfId="0" applyNumberFormat="1" applyFont="1" applyBorder="1" applyAlignment="1">
      <alignment vertical="center"/>
    </xf>
    <xf numFmtId="179" fontId="31" fillId="0" borderId="7" xfId="0" applyNumberFormat="1" applyFont="1" applyBorder="1" applyAlignment="1">
      <alignment vertical="center"/>
    </xf>
    <xf numFmtId="179" fontId="31" fillId="0" borderId="8" xfId="0" applyNumberFormat="1" applyFont="1" applyBorder="1" applyAlignment="1">
      <alignment vertical="center"/>
    </xf>
    <xf numFmtId="179" fontId="31" fillId="0" borderId="4" xfId="2" applyNumberFormat="1" applyFont="1" applyBorder="1" applyAlignment="1">
      <alignment vertical="center"/>
    </xf>
    <xf numFmtId="179" fontId="31" fillId="0" borderId="0" xfId="2" applyNumberFormat="1" applyFont="1" applyAlignment="1">
      <alignment vertical="center"/>
    </xf>
    <xf numFmtId="179" fontId="31" fillId="0" borderId="5" xfId="2" applyNumberFormat="1" applyFont="1" applyBorder="1" applyAlignment="1">
      <alignment vertical="center"/>
    </xf>
    <xf numFmtId="179" fontId="31" fillId="0" borderId="6" xfId="2" applyNumberFormat="1" applyFont="1" applyBorder="1" applyAlignment="1">
      <alignment vertical="center"/>
    </xf>
    <xf numFmtId="179" fontId="31" fillId="0" borderId="7" xfId="2" applyNumberFormat="1" applyFont="1" applyBorder="1" applyAlignment="1">
      <alignment vertical="center"/>
    </xf>
    <xf numFmtId="179" fontId="31" fillId="0" borderId="8" xfId="2" applyNumberFormat="1" applyFont="1" applyBorder="1" applyAlignment="1">
      <alignment vertical="center"/>
    </xf>
    <xf numFmtId="179" fontId="31" fillId="0" borderId="0" xfId="2" applyNumberFormat="1" applyFont="1" applyBorder="1" applyAlignment="1">
      <alignment vertical="center"/>
    </xf>
    <xf numFmtId="174" fontId="31" fillId="0" borderId="32" xfId="0" applyNumberFormat="1" applyFont="1" applyBorder="1" applyAlignment="1">
      <alignment vertical="center"/>
    </xf>
    <xf numFmtId="174" fontId="31" fillId="0" borderId="18" xfId="0" applyNumberFormat="1" applyFont="1" applyBorder="1" applyAlignment="1">
      <alignment vertical="center"/>
    </xf>
    <xf numFmtId="174" fontId="31" fillId="0" borderId="33" xfId="0" applyNumberFormat="1" applyFont="1" applyBorder="1" applyAlignment="1">
      <alignment vertical="center"/>
    </xf>
    <xf numFmtId="167" fontId="31" fillId="0" borderId="0" xfId="0" applyNumberFormat="1" applyFont="1" applyAlignment="1">
      <alignment horizontal="right" vertical="center"/>
    </xf>
    <xf numFmtId="174" fontId="31" fillId="0" borderId="0" xfId="2" applyNumberFormat="1" applyFont="1" applyBorder="1" applyAlignment="1">
      <alignment horizontal="right" vertical="center"/>
    </xf>
    <xf numFmtId="0" fontId="27" fillId="0" borderId="23" xfId="0" applyFont="1" applyBorder="1" applyAlignment="1">
      <alignment horizontal="left" vertical="center" indent="1"/>
    </xf>
    <xf numFmtId="0" fontId="0" fillId="0" borderId="23" xfId="0" applyBorder="1"/>
    <xf numFmtId="0" fontId="31" fillId="0" borderId="0" xfId="2" applyNumberFormat="1" applyFont="1" applyFill="1" applyBorder="1" applyAlignment="1">
      <alignment vertical="center"/>
    </xf>
    <xf numFmtId="0" fontId="33" fillId="2" borderId="0" xfId="0" applyFont="1" applyFill="1" applyAlignment="1">
      <alignment horizontal="left" vertical="center"/>
    </xf>
    <xf numFmtId="0" fontId="33" fillId="2" borderId="0" xfId="0" applyFont="1" applyFill="1" applyAlignment="1">
      <alignment horizontal="left"/>
    </xf>
    <xf numFmtId="164" fontId="9" fillId="0" borderId="0" xfId="7" applyNumberFormat="1" applyFont="1" applyFill="1" applyAlignment="1">
      <alignment horizontal="right"/>
    </xf>
    <xf numFmtId="164" fontId="9" fillId="0" borderId="0" xfId="7" applyNumberFormat="1" applyFont="1" applyFill="1" applyBorder="1" applyAlignment="1">
      <alignment horizontal="right"/>
    </xf>
    <xf numFmtId="0" fontId="44" fillId="0" borderId="0" xfId="0" applyFont="1"/>
    <xf numFmtId="0" fontId="19" fillId="0" borderId="0" xfId="0" applyFont="1"/>
    <xf numFmtId="167" fontId="92" fillId="0" borderId="0" xfId="0" applyNumberFormat="1" applyFont="1" applyAlignment="1">
      <alignment vertical="center"/>
    </xf>
    <xf numFmtId="9" fontId="19" fillId="0" borderId="0" xfId="0" applyNumberFormat="1" applyFont="1"/>
    <xf numFmtId="164" fontId="19" fillId="0" borderId="23" xfId="0" applyNumberFormat="1" applyFont="1" applyBorder="1"/>
    <xf numFmtId="14" fontId="19" fillId="0" borderId="0" xfId="0" applyNumberFormat="1" applyFont="1"/>
    <xf numFmtId="174" fontId="92" fillId="0" borderId="0" xfId="2" applyNumberFormat="1" applyFont="1" applyFill="1" applyBorder="1" applyAlignment="1">
      <alignment horizontal="right"/>
    </xf>
    <xf numFmtId="170" fontId="93" fillId="0" borderId="0" xfId="2" applyNumberFormat="1" applyFont="1" applyFill="1" applyBorder="1" applyAlignment="1">
      <alignment horizontal="right" vertical="center"/>
    </xf>
    <xf numFmtId="186" fontId="93" fillId="0" borderId="0" xfId="2" applyNumberFormat="1" applyFont="1" applyFill="1" applyBorder="1" applyAlignment="1">
      <alignment horizontal="right" vertical="center"/>
    </xf>
    <xf numFmtId="164" fontId="27" fillId="0" borderId="0" xfId="0" applyNumberFormat="1" applyFont="1" applyAlignment="1">
      <alignment horizontal="right" vertical="center"/>
    </xf>
    <xf numFmtId="164" fontId="19" fillId="0" borderId="0" xfId="8" applyNumberFormat="1" applyFont="1" applyAlignment="1">
      <alignment horizontal="right"/>
    </xf>
    <xf numFmtId="164" fontId="0" fillId="0" borderId="0" xfId="8" applyNumberFormat="1" applyFont="1" applyAlignment="1">
      <alignment horizontal="right"/>
    </xf>
    <xf numFmtId="164" fontId="0" fillId="0" borderId="0" xfId="8" applyNumberFormat="1" applyFont="1"/>
    <xf numFmtId="164" fontId="3" fillId="0" borderId="35" xfId="0" applyNumberFormat="1" applyFont="1" applyBorder="1"/>
    <xf numFmtId="164" fontId="3" fillId="0" borderId="36" xfId="0" applyNumberFormat="1" applyFont="1" applyBorder="1"/>
    <xf numFmtId="164" fontId="3" fillId="0" borderId="37" xfId="0" applyNumberFormat="1" applyFont="1" applyBorder="1"/>
    <xf numFmtId="171" fontId="3" fillId="0" borderId="35" xfId="0" applyNumberFormat="1" applyFont="1" applyBorder="1" applyAlignment="1">
      <alignment horizontal="right"/>
    </xf>
    <xf numFmtId="171" fontId="3" fillId="0" borderId="36" xfId="0" applyNumberFormat="1" applyFont="1" applyBorder="1" applyAlignment="1">
      <alignment horizontal="right"/>
    </xf>
    <xf numFmtId="171" fontId="3" fillId="0" borderId="37" xfId="0" applyNumberFormat="1" applyFont="1" applyBorder="1" applyAlignment="1">
      <alignment horizontal="right"/>
    </xf>
    <xf numFmtId="0" fontId="9" fillId="0" borderId="38" xfId="0" applyFont="1" applyBorder="1" applyAlignment="1">
      <alignment horizontal="left"/>
    </xf>
    <xf numFmtId="0" fontId="36" fillId="0" borderId="39" xfId="0" applyFont="1" applyBorder="1" applyAlignment="1">
      <alignment horizontal="center"/>
    </xf>
    <xf numFmtId="172" fontId="9" fillId="0" borderId="40" xfId="2" applyNumberFormat="1" applyFont="1" applyFill="1" applyBorder="1" applyAlignment="1">
      <alignment horizontal="right"/>
    </xf>
    <xf numFmtId="0" fontId="3" fillId="0" borderId="41" xfId="0" applyFont="1" applyBorder="1" applyAlignment="1">
      <alignment horizontal="left"/>
    </xf>
    <xf numFmtId="0" fontId="36" fillId="0" borderId="42" xfId="0" applyFont="1" applyBorder="1" applyAlignment="1">
      <alignment horizontal="center"/>
    </xf>
    <xf numFmtId="164" fontId="9" fillId="0" borderId="43" xfId="0" applyNumberFormat="1" applyFont="1" applyBorder="1" applyAlignment="1">
      <alignment horizontal="right"/>
    </xf>
    <xf numFmtId="171" fontId="3" fillId="0" borderId="38" xfId="0" applyNumberFormat="1" applyFont="1" applyBorder="1" applyAlignment="1">
      <alignment horizontal="right"/>
    </xf>
    <xf numFmtId="171" fontId="3" fillId="0" borderId="39" xfId="0" applyNumberFormat="1" applyFont="1" applyBorder="1" applyAlignment="1">
      <alignment horizontal="right"/>
    </xf>
    <xf numFmtId="171" fontId="3" fillId="0" borderId="40" xfId="0" applyNumberFormat="1" applyFont="1" applyBorder="1" applyAlignment="1">
      <alignment horizontal="right"/>
    </xf>
    <xf numFmtId="171" fontId="3" fillId="0" borderId="44" xfId="0" applyNumberFormat="1" applyFont="1" applyBorder="1" applyAlignment="1">
      <alignment horizontal="right"/>
    </xf>
    <xf numFmtId="171" fontId="3" fillId="0" borderId="45" xfId="0" applyNumberFormat="1" applyFont="1" applyBorder="1" applyAlignment="1">
      <alignment horizontal="right"/>
    </xf>
    <xf numFmtId="171" fontId="3" fillId="0" borderId="41" xfId="0" applyNumberFormat="1" applyFont="1" applyBorder="1" applyAlignment="1">
      <alignment horizontal="right"/>
    </xf>
    <xf numFmtId="171" fontId="3" fillId="0" borderId="42" xfId="0" applyNumberFormat="1" applyFont="1" applyBorder="1" applyAlignment="1">
      <alignment horizontal="right"/>
    </xf>
    <xf numFmtId="171" fontId="3" fillId="0" borderId="43" xfId="0" applyNumberFormat="1" applyFont="1" applyBorder="1" applyAlignment="1">
      <alignment horizontal="right"/>
    </xf>
    <xf numFmtId="0" fontId="3" fillId="0" borderId="38" xfId="0" applyFont="1" applyBorder="1" applyAlignment="1">
      <alignment horizontal="left"/>
    </xf>
    <xf numFmtId="172" fontId="3" fillId="0" borderId="40" xfId="2" applyNumberFormat="1" applyFont="1" applyFill="1" applyBorder="1" applyAlignment="1">
      <alignment horizontal="right"/>
    </xf>
    <xf numFmtId="166" fontId="8" fillId="0" borderId="38" xfId="0" applyNumberFormat="1" applyFont="1" applyBorder="1" applyAlignment="1">
      <alignment horizontal="left"/>
    </xf>
    <xf numFmtId="164" fontId="3" fillId="0" borderId="39" xfId="0" applyNumberFormat="1" applyFont="1" applyBorder="1" applyAlignment="1">
      <alignment horizontal="left"/>
    </xf>
    <xf numFmtId="166" fontId="8" fillId="0" borderId="44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166" fontId="8" fillId="0" borderId="41" xfId="0" applyNumberFormat="1" applyFont="1" applyBorder="1" applyAlignment="1">
      <alignment horizontal="left"/>
    </xf>
    <xf numFmtId="164" fontId="3" fillId="0" borderId="42" xfId="0" applyNumberFormat="1" applyFont="1" applyBorder="1" applyAlignment="1">
      <alignment horizontal="left"/>
    </xf>
    <xf numFmtId="37" fontId="8" fillId="0" borderId="39" xfId="0" applyNumberFormat="1" applyFont="1" applyBorder="1" applyAlignment="1">
      <alignment vertical="center"/>
    </xf>
    <xf numFmtId="9" fontId="3" fillId="0" borderId="40" xfId="2" applyFont="1" applyFill="1" applyBorder="1" applyAlignment="1"/>
    <xf numFmtId="49" fontId="3" fillId="0" borderId="41" xfId="0" applyNumberFormat="1" applyFont="1" applyBorder="1" applyAlignment="1">
      <alignment horizontal="left"/>
    </xf>
    <xf numFmtId="37" fontId="8" fillId="0" borderId="42" xfId="0" applyNumberFormat="1" applyFont="1" applyBorder="1" applyAlignment="1">
      <alignment vertical="center"/>
    </xf>
    <xf numFmtId="181" fontId="3" fillId="0" borderId="43" xfId="0" applyNumberFormat="1" applyFont="1" applyBorder="1" applyAlignment="1">
      <alignment horizontal="right"/>
    </xf>
    <xf numFmtId="180" fontId="3" fillId="0" borderId="41" xfId="0" applyNumberFormat="1" applyFont="1" applyBorder="1"/>
    <xf numFmtId="180" fontId="3" fillId="0" borderId="42" xfId="0" applyNumberFormat="1" applyFont="1" applyBorder="1"/>
    <xf numFmtId="180" fontId="3" fillId="0" borderId="43" xfId="0" applyNumberFormat="1" applyFont="1" applyBorder="1"/>
    <xf numFmtId="37" fontId="50" fillId="0" borderId="39" xfId="0" applyNumberFormat="1" applyFont="1" applyBorder="1" applyAlignment="1">
      <alignment vertical="center"/>
    </xf>
    <xf numFmtId="171" fontId="9" fillId="0" borderId="40" xfId="0" applyNumberFormat="1" applyFont="1" applyBorder="1" applyAlignment="1">
      <alignment horizontal="right"/>
    </xf>
    <xf numFmtId="0" fontId="9" fillId="0" borderId="41" xfId="0" applyFont="1" applyBorder="1" applyAlignment="1">
      <alignment horizontal="left"/>
    </xf>
    <xf numFmtId="37" fontId="50" fillId="0" borderId="42" xfId="0" applyNumberFormat="1" applyFont="1" applyBorder="1" applyAlignment="1">
      <alignment vertical="center"/>
    </xf>
    <xf numFmtId="170" fontId="9" fillId="0" borderId="43" xfId="2" applyNumberFormat="1" applyFont="1" applyFill="1" applyBorder="1"/>
    <xf numFmtId="164" fontId="53" fillId="0" borderId="0" xfId="0" applyNumberFormat="1" applyFont="1"/>
    <xf numFmtId="164" fontId="54" fillId="0" borderId="0" xfId="0" applyNumberFormat="1" applyFont="1"/>
    <xf numFmtId="164" fontId="55" fillId="0" borderId="0" xfId="0" applyNumberFormat="1" applyFont="1"/>
    <xf numFmtId="164" fontId="51" fillId="0" borderId="0" xfId="0" applyNumberFormat="1" applyFont="1"/>
    <xf numFmtId="164" fontId="0" fillId="0" borderId="34" xfId="8" applyNumberFormat="1" applyFont="1" applyBorder="1"/>
    <xf numFmtId="164" fontId="3" fillId="0" borderId="34" xfId="0" applyNumberFormat="1" applyFont="1" applyBorder="1"/>
    <xf numFmtId="164" fontId="92" fillId="0" borderId="34" xfId="0" applyNumberFormat="1" applyFont="1" applyBorder="1"/>
    <xf numFmtId="164" fontId="51" fillId="0" borderId="34" xfId="0" applyNumberFormat="1" applyFont="1" applyBorder="1" applyAlignment="1">
      <alignment horizontal="right" vertical="center"/>
    </xf>
    <xf numFmtId="167" fontId="31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72" fontId="3" fillId="0" borderId="0" xfId="0" applyNumberFormat="1" applyFont="1"/>
    <xf numFmtId="0" fontId="6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7" fontId="15" fillId="0" borderId="0" xfId="0" applyNumberFormat="1" applyFont="1"/>
    <xf numFmtId="171" fontId="60" fillId="0" borderId="39" xfId="0" applyNumberFormat="1" applyFont="1" applyBorder="1" applyAlignment="1">
      <alignment horizontal="right"/>
    </xf>
    <xf numFmtId="171" fontId="60" fillId="0" borderId="0" xfId="0" applyNumberFormat="1" applyFont="1" applyAlignment="1">
      <alignment horizontal="right"/>
    </xf>
    <xf numFmtId="0" fontId="3" fillId="0" borderId="44" xfId="0" applyFont="1" applyBorder="1" applyAlignment="1">
      <alignment horizontal="left"/>
    </xf>
    <xf numFmtId="181" fontId="3" fillId="0" borderId="35" xfId="0" applyNumberFormat="1" applyFont="1" applyBorder="1" applyAlignment="1">
      <alignment horizontal="right"/>
    </xf>
    <xf numFmtId="181" fontId="3" fillId="0" borderId="36" xfId="0" applyNumberFormat="1" applyFont="1" applyBorder="1" applyAlignment="1">
      <alignment horizontal="right"/>
    </xf>
    <xf numFmtId="181" fontId="3" fillId="0" borderId="37" xfId="0" applyNumberFormat="1" applyFont="1" applyBorder="1" applyAlignment="1">
      <alignment horizontal="right"/>
    </xf>
    <xf numFmtId="0" fontId="64" fillId="0" borderId="0" xfId="0" applyFont="1" applyAlignment="1">
      <alignment horizontal="center"/>
    </xf>
    <xf numFmtId="14" fontId="16" fillId="0" borderId="0" xfId="0" applyNumberFormat="1" applyFont="1"/>
    <xf numFmtId="14" fontId="3" fillId="4" borderId="0" xfId="0" applyNumberFormat="1" applyFont="1" applyFill="1" applyAlignment="1">
      <alignment horizontal="center"/>
    </xf>
    <xf numFmtId="167" fontId="63" fillId="0" borderId="47" xfId="0" applyNumberFormat="1" applyFont="1" applyBorder="1" applyAlignment="1">
      <alignment horizontal="center"/>
    </xf>
    <xf numFmtId="0" fontId="64" fillId="0" borderId="50" xfId="0" applyFont="1" applyBorder="1" applyAlignment="1">
      <alignment horizontal="center"/>
    </xf>
    <xf numFmtId="0" fontId="64" fillId="0" borderId="51" xfId="0" applyFont="1" applyBorder="1" applyAlignment="1">
      <alignment horizontal="center"/>
    </xf>
    <xf numFmtId="14" fontId="3" fillId="0" borderId="50" xfId="0" applyNumberFormat="1" applyFont="1" applyBorder="1" applyAlignment="1">
      <alignment horizontal="center"/>
    </xf>
    <xf numFmtId="14" fontId="3" fillId="4" borderId="51" xfId="0" applyNumberFormat="1" applyFont="1" applyFill="1" applyBorder="1" applyAlignment="1">
      <alignment horizontal="center"/>
    </xf>
    <xf numFmtId="14" fontId="3" fillId="0" borderId="52" xfId="0" applyNumberFormat="1" applyFont="1" applyBorder="1" applyAlignment="1">
      <alignment horizontal="center"/>
    </xf>
    <xf numFmtId="14" fontId="69" fillId="0" borderId="53" xfId="0" applyNumberFormat="1" applyFont="1" applyBorder="1" applyAlignment="1">
      <alignment horizontal="center"/>
    </xf>
    <xf numFmtId="14" fontId="3" fillId="4" borderId="53" xfId="0" applyNumberFormat="1" applyFont="1" applyFill="1" applyBorder="1" applyAlignment="1">
      <alignment horizontal="center"/>
    </xf>
    <xf numFmtId="14" fontId="3" fillId="4" borderId="54" xfId="0" applyNumberFormat="1" applyFont="1" applyFill="1" applyBorder="1" applyAlignment="1">
      <alignment horizontal="center"/>
    </xf>
    <xf numFmtId="167" fontId="63" fillId="0" borderId="55" xfId="0" applyNumberFormat="1" applyFont="1" applyBorder="1" applyAlignment="1">
      <alignment horizontal="center"/>
    </xf>
    <xf numFmtId="167" fontId="63" fillId="0" borderId="34" xfId="0" applyNumberFormat="1" applyFont="1" applyBorder="1" applyAlignment="1">
      <alignment horizontal="centerContinuous"/>
    </xf>
    <xf numFmtId="165" fontId="63" fillId="0" borderId="34" xfId="0" applyNumberFormat="1" applyFont="1" applyBorder="1" applyAlignment="1">
      <alignment horizontal="centerContinuous"/>
    </xf>
    <xf numFmtId="166" fontId="63" fillId="0" borderId="56" xfId="0" applyNumberFormat="1" applyFont="1" applyBorder="1" applyAlignment="1">
      <alignment horizontal="center"/>
    </xf>
    <xf numFmtId="170" fontId="27" fillId="0" borderId="40" xfId="2" applyNumberFormat="1" applyFont="1" applyFill="1" applyBorder="1" applyAlignment="1">
      <alignment horizontal="right"/>
    </xf>
    <xf numFmtId="170" fontId="3" fillId="0" borderId="43" xfId="2" applyNumberFormat="1" applyFont="1" applyFill="1" applyBorder="1" applyAlignment="1">
      <alignment horizontal="right"/>
    </xf>
    <xf numFmtId="0" fontId="3" fillId="0" borderId="38" xfId="0" applyFont="1" applyBorder="1" applyAlignment="1">
      <alignment horizontal="left" indent="1"/>
    </xf>
    <xf numFmtId="0" fontId="66" fillId="0" borderId="39" xfId="0" applyFont="1" applyBorder="1"/>
    <xf numFmtId="0" fontId="3" fillId="0" borderId="41" xfId="0" applyFont="1" applyBorder="1" applyAlignment="1">
      <alignment horizontal="left" indent="1"/>
    </xf>
    <xf numFmtId="0" fontId="66" fillId="0" borderId="42" xfId="0" applyFont="1" applyBorder="1"/>
    <xf numFmtId="0" fontId="3" fillId="0" borderId="44" xfId="0" applyFont="1" applyBorder="1" applyAlignment="1">
      <alignment horizontal="left" indent="1"/>
    </xf>
    <xf numFmtId="0" fontId="0" fillId="0" borderId="44" xfId="0" applyBorder="1" applyAlignment="1">
      <alignment horizontal="left" indent="1"/>
    </xf>
    <xf numFmtId="0" fontId="68" fillId="0" borderId="0" xfId="0" quotePrefix="1" applyFont="1" applyAlignment="1">
      <alignment horizontal="right"/>
    </xf>
    <xf numFmtId="0" fontId="36" fillId="0" borderId="42" xfId="0" applyFont="1" applyBorder="1" applyAlignment="1">
      <alignment horizontal="right"/>
    </xf>
    <xf numFmtId="186" fontId="3" fillId="0" borderId="40" xfId="2" applyNumberFormat="1" applyFont="1" applyFill="1" applyBorder="1" applyAlignment="1">
      <alignment horizontal="right"/>
    </xf>
    <xf numFmtId="0" fontId="9" fillId="0" borderId="38" xfId="0" applyFont="1" applyBorder="1" applyAlignment="1">
      <alignment horizontal="left" indent="1"/>
    </xf>
    <xf numFmtId="37" fontId="40" fillId="0" borderId="39" xfId="0" applyNumberFormat="1" applyFont="1" applyBorder="1" applyAlignment="1">
      <alignment vertical="center"/>
    </xf>
    <xf numFmtId="0" fontId="9" fillId="0" borderId="41" xfId="0" applyFont="1" applyBorder="1" applyAlignment="1">
      <alignment horizontal="left" indent="1"/>
    </xf>
    <xf numFmtId="0" fontId="15" fillId="0" borderId="42" xfId="0" applyFont="1" applyBorder="1"/>
    <xf numFmtId="0" fontId="15" fillId="0" borderId="39" xfId="0" applyFont="1" applyBorder="1"/>
    <xf numFmtId="0" fontId="9" fillId="0" borderId="44" xfId="0" applyFont="1" applyBorder="1" applyAlignment="1">
      <alignment horizontal="left" indent="1"/>
    </xf>
    <xf numFmtId="0" fontId="36" fillId="0" borderId="0" xfId="0" quotePrefix="1" applyFont="1" applyAlignment="1">
      <alignment horizontal="right"/>
    </xf>
    <xf numFmtId="183" fontId="3" fillId="0" borderId="58" xfId="0" applyNumberFormat="1" applyFont="1" applyBorder="1" applyAlignment="1">
      <alignment horizontal="center"/>
    </xf>
    <xf numFmtId="183" fontId="3" fillId="0" borderId="0" xfId="0" applyNumberFormat="1" applyFont="1" applyAlignment="1">
      <alignment horizontal="center"/>
    </xf>
    <xf numFmtId="183" fontId="3" fillId="0" borderId="17" xfId="0" applyNumberFormat="1" applyFont="1" applyBorder="1" applyAlignment="1">
      <alignment horizontal="center"/>
    </xf>
    <xf numFmtId="183" fontId="3" fillId="0" borderId="59" xfId="0" applyNumberFormat="1" applyFont="1" applyBorder="1" applyAlignment="1">
      <alignment horizontal="center"/>
    </xf>
    <xf numFmtId="183" fontId="3" fillId="0" borderId="57" xfId="0" applyNumberFormat="1" applyFont="1" applyBorder="1" applyAlignment="1">
      <alignment horizontal="center"/>
    </xf>
    <xf numFmtId="167" fontId="63" fillId="0" borderId="48" xfId="0" applyNumberFormat="1" applyFont="1" applyBorder="1" applyAlignment="1">
      <alignment horizontal="center"/>
    </xf>
    <xf numFmtId="172" fontId="3" fillId="0" borderId="60" xfId="4" applyNumberFormat="1" applyFont="1" applyFill="1" applyBorder="1" applyAlignment="1">
      <alignment horizontal="center"/>
    </xf>
    <xf numFmtId="171" fontId="60" fillId="0" borderId="62" xfId="0" applyNumberFormat="1" applyFont="1" applyBorder="1" applyAlignment="1">
      <alignment horizontal="right"/>
    </xf>
    <xf numFmtId="164" fontId="3" fillId="0" borderId="40" xfId="0" applyNumberFormat="1" applyFont="1" applyBorder="1" applyAlignment="1">
      <alignment horizontal="left"/>
    </xf>
    <xf numFmtId="164" fontId="3" fillId="0" borderId="45" xfId="0" applyNumberFormat="1" applyFont="1" applyBorder="1" applyAlignment="1">
      <alignment horizontal="left"/>
    </xf>
    <xf numFmtId="164" fontId="3" fillId="0" borderId="43" xfId="0" applyNumberFormat="1" applyFont="1" applyBorder="1" applyAlignment="1">
      <alignment horizontal="left"/>
    </xf>
    <xf numFmtId="164" fontId="3" fillId="0" borderId="38" xfId="0" applyNumberFormat="1" applyFont="1" applyBorder="1" applyAlignment="1">
      <alignment horizontal="right"/>
    </xf>
    <xf numFmtId="164" fontId="3" fillId="0" borderId="39" xfId="0" applyNumberFormat="1" applyFont="1" applyBorder="1" applyAlignment="1">
      <alignment horizontal="right"/>
    </xf>
    <xf numFmtId="164" fontId="3" fillId="0" borderId="40" xfId="0" applyNumberFormat="1" applyFont="1" applyBorder="1" applyAlignment="1">
      <alignment horizontal="right"/>
    </xf>
    <xf numFmtId="164" fontId="3" fillId="0" borderId="44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45" xfId="0" applyNumberFormat="1" applyFont="1" applyBorder="1" applyAlignment="1">
      <alignment horizontal="right"/>
    </xf>
    <xf numFmtId="164" fontId="3" fillId="0" borderId="41" xfId="0" applyNumberFormat="1" applyFont="1" applyBorder="1" applyAlignment="1">
      <alignment horizontal="right"/>
    </xf>
    <xf numFmtId="164" fontId="3" fillId="0" borderId="42" xfId="0" applyNumberFormat="1" applyFont="1" applyBorder="1" applyAlignment="1">
      <alignment horizontal="right"/>
    </xf>
    <xf numFmtId="164" fontId="3" fillId="0" borderId="43" xfId="0" applyNumberFormat="1" applyFont="1" applyBorder="1" applyAlignment="1">
      <alignment horizontal="right"/>
    </xf>
    <xf numFmtId="164" fontId="3" fillId="0" borderId="34" xfId="0" applyNumberFormat="1" applyFont="1" applyBorder="1" applyAlignment="1">
      <alignment horizontal="right" vertical="center"/>
    </xf>
    <xf numFmtId="164" fontId="19" fillId="0" borderId="34" xfId="0" applyNumberFormat="1" applyFont="1" applyBorder="1"/>
    <xf numFmtId="164" fontId="0" fillId="0" borderId="34" xfId="0" applyNumberFormat="1" applyBorder="1"/>
    <xf numFmtId="164" fontId="0" fillId="0" borderId="0" xfId="0" applyNumberFormat="1" applyAlignment="1">
      <alignment vertical="center" wrapText="1"/>
    </xf>
    <xf numFmtId="164" fontId="3" fillId="0" borderId="38" xfId="0" applyNumberFormat="1" applyFont="1" applyBorder="1"/>
    <xf numFmtId="164" fontId="3" fillId="0" borderId="39" xfId="0" applyNumberFormat="1" applyFont="1" applyBorder="1"/>
    <xf numFmtId="164" fontId="3" fillId="0" borderId="40" xfId="0" applyNumberFormat="1" applyFont="1" applyBorder="1"/>
    <xf numFmtId="164" fontId="9" fillId="0" borderId="39" xfId="0" applyNumberFormat="1" applyFont="1" applyBorder="1"/>
    <xf numFmtId="164" fontId="40" fillId="0" borderId="0" xfId="0" applyNumberFormat="1" applyFont="1" applyAlignment="1">
      <alignment vertical="center"/>
    </xf>
    <xf numFmtId="164" fontId="9" fillId="0" borderId="34" xfId="0" applyNumberFormat="1" applyFont="1" applyBorder="1"/>
    <xf numFmtId="164" fontId="2" fillId="0" borderId="34" xfId="0" applyNumberFormat="1" applyFont="1" applyBorder="1"/>
    <xf numFmtId="164" fontId="3" fillId="0" borderId="45" xfId="0" applyNumberFormat="1" applyFont="1" applyBorder="1"/>
    <xf numFmtId="175" fontId="38" fillId="0" borderId="42" xfId="0" applyNumberFormat="1" applyFont="1" applyBorder="1" applyAlignment="1">
      <alignment vertical="center"/>
    </xf>
    <xf numFmtId="37" fontId="14" fillId="0" borderId="42" xfId="0" applyNumberFormat="1" applyFont="1" applyBorder="1" applyAlignment="1">
      <alignment vertical="center"/>
    </xf>
    <xf numFmtId="165" fontId="8" fillId="0" borderId="42" xfId="0" applyNumberFormat="1" applyFont="1" applyBorder="1" applyAlignment="1">
      <alignment horizontal="right"/>
    </xf>
    <xf numFmtId="166" fontId="8" fillId="0" borderId="42" xfId="0" applyNumberFormat="1" applyFont="1" applyBorder="1" applyAlignment="1">
      <alignment horizontal="right"/>
    </xf>
    <xf numFmtId="164" fontId="3" fillId="0" borderId="34" xfId="0" applyNumberFormat="1" applyFont="1" applyBorder="1" applyAlignment="1">
      <alignment vertical="center"/>
    </xf>
    <xf numFmtId="164" fontId="3" fillId="4" borderId="0" xfId="4" applyNumberFormat="1" applyFont="1" applyFill="1" applyBorder="1" applyAlignment="1">
      <alignment vertical="center"/>
    </xf>
    <xf numFmtId="164" fontId="3" fillId="0" borderId="0" xfId="4" applyNumberFormat="1" applyFont="1" applyBorder="1" applyAlignment="1">
      <alignment horizontal="right" vertical="center"/>
    </xf>
    <xf numFmtId="164" fontId="3" fillId="4" borderId="38" xfId="4" applyNumberFormat="1" applyFont="1" applyFill="1" applyBorder="1" applyAlignment="1">
      <alignment vertical="center"/>
    </xf>
    <xf numFmtId="164" fontId="3" fillId="4" borderId="39" xfId="4" applyNumberFormat="1" applyFont="1" applyFill="1" applyBorder="1" applyAlignment="1">
      <alignment vertical="center"/>
    </xf>
    <xf numFmtId="164" fontId="3" fillId="4" borderId="40" xfId="4" applyNumberFormat="1" applyFont="1" applyFill="1" applyBorder="1" applyAlignment="1">
      <alignment vertical="center"/>
    </xf>
    <xf numFmtId="164" fontId="3" fillId="4" borderId="44" xfId="4" applyNumberFormat="1" applyFont="1" applyFill="1" applyBorder="1" applyAlignment="1">
      <alignment vertical="center"/>
    </xf>
    <xf numFmtId="164" fontId="3" fillId="4" borderId="45" xfId="4" applyNumberFormat="1" applyFont="1" applyFill="1" applyBorder="1" applyAlignment="1">
      <alignment vertical="center"/>
    </xf>
    <xf numFmtId="164" fontId="3" fillId="4" borderId="41" xfId="4" applyNumberFormat="1" applyFont="1" applyFill="1" applyBorder="1" applyAlignment="1">
      <alignment vertical="center"/>
    </xf>
    <xf numFmtId="164" fontId="3" fillId="4" borderId="42" xfId="4" applyNumberFormat="1" applyFont="1" applyFill="1" applyBorder="1" applyAlignment="1">
      <alignment vertical="center"/>
    </xf>
    <xf numFmtId="164" fontId="3" fillId="4" borderId="43" xfId="4" applyNumberFormat="1" applyFont="1" applyFill="1" applyBorder="1" applyAlignment="1">
      <alignment vertical="center"/>
    </xf>
    <xf numFmtId="171" fontId="3" fillId="4" borderId="38" xfId="4" applyNumberFormat="1" applyFont="1" applyFill="1" applyBorder="1" applyAlignment="1">
      <alignment horizontal="right" vertical="center"/>
    </xf>
    <xf numFmtId="171" fontId="3" fillId="4" borderId="39" xfId="4" applyNumberFormat="1" applyFont="1" applyFill="1" applyBorder="1" applyAlignment="1">
      <alignment horizontal="right" vertical="center"/>
    </xf>
    <xf numFmtId="171" fontId="3" fillId="4" borderId="40" xfId="4" applyNumberFormat="1" applyFont="1" applyFill="1" applyBorder="1" applyAlignment="1">
      <alignment horizontal="right" vertical="center"/>
    </xf>
    <xf numFmtId="171" fontId="3" fillId="4" borderId="44" xfId="4" applyNumberFormat="1" applyFont="1" applyFill="1" applyBorder="1" applyAlignment="1">
      <alignment horizontal="right" vertical="center"/>
    </xf>
    <xf numFmtId="171" fontId="3" fillId="4" borderId="0" xfId="4" applyNumberFormat="1" applyFont="1" applyFill="1" applyBorder="1" applyAlignment="1">
      <alignment horizontal="right" vertical="center"/>
    </xf>
    <xf numFmtId="171" fontId="3" fillId="4" borderId="45" xfId="4" applyNumberFormat="1" applyFont="1" applyFill="1" applyBorder="1" applyAlignment="1">
      <alignment horizontal="right" vertical="center"/>
    </xf>
    <xf numFmtId="171" fontId="3" fillId="4" borderId="41" xfId="4" applyNumberFormat="1" applyFont="1" applyFill="1" applyBorder="1" applyAlignment="1">
      <alignment horizontal="right" vertical="center"/>
    </xf>
    <xf numFmtId="171" fontId="3" fillId="4" borderId="42" xfId="4" applyNumberFormat="1" applyFont="1" applyFill="1" applyBorder="1" applyAlignment="1">
      <alignment horizontal="right" vertical="center"/>
    </xf>
    <xf numFmtId="171" fontId="3" fillId="4" borderId="43" xfId="4" applyNumberFormat="1" applyFont="1" applyFill="1" applyBorder="1" applyAlignment="1">
      <alignment horizontal="right" vertical="center"/>
    </xf>
    <xf numFmtId="164" fontId="3" fillId="0" borderId="38" xfId="4" applyNumberFormat="1" applyFont="1" applyFill="1" applyBorder="1" applyAlignment="1">
      <alignment vertical="center"/>
    </xf>
    <xf numFmtId="164" fontId="3" fillId="0" borderId="39" xfId="4" applyNumberFormat="1" applyFont="1" applyFill="1" applyBorder="1" applyAlignment="1">
      <alignment vertical="center"/>
    </xf>
    <xf numFmtId="164" fontId="3" fillId="0" borderId="40" xfId="4" applyNumberFormat="1" applyFont="1" applyFill="1" applyBorder="1" applyAlignment="1">
      <alignment vertical="center"/>
    </xf>
    <xf numFmtId="164" fontId="3" fillId="0" borderId="44" xfId="4" applyNumberFormat="1" applyFont="1" applyFill="1" applyBorder="1" applyAlignment="1">
      <alignment vertical="center"/>
    </xf>
    <xf numFmtId="164" fontId="3" fillId="0" borderId="0" xfId="4" applyNumberFormat="1" applyFont="1" applyFill="1" applyBorder="1" applyAlignment="1">
      <alignment vertical="center"/>
    </xf>
    <xf numFmtId="164" fontId="3" fillId="0" borderId="45" xfId="4" applyNumberFormat="1" applyFont="1" applyFill="1" applyBorder="1" applyAlignment="1">
      <alignment vertical="center"/>
    </xf>
    <xf numFmtId="164" fontId="3" fillId="0" borderId="41" xfId="4" applyNumberFormat="1" applyFont="1" applyFill="1" applyBorder="1" applyAlignment="1">
      <alignment vertical="center"/>
    </xf>
    <xf numFmtId="164" fontId="3" fillId="0" borderId="42" xfId="4" applyNumberFormat="1" applyFont="1" applyFill="1" applyBorder="1" applyAlignment="1">
      <alignment vertical="center"/>
    </xf>
    <xf numFmtId="164" fontId="3" fillId="0" borderId="43" xfId="4" applyNumberFormat="1" applyFont="1" applyFill="1" applyBorder="1" applyAlignment="1">
      <alignment vertical="center"/>
    </xf>
    <xf numFmtId="171" fontId="3" fillId="0" borderId="38" xfId="4" applyNumberFormat="1" applyFont="1" applyFill="1" applyBorder="1" applyAlignment="1">
      <alignment horizontal="right" vertical="center"/>
    </xf>
    <xf numFmtId="171" fontId="3" fillId="0" borderId="39" xfId="4" applyNumberFormat="1" applyFont="1" applyFill="1" applyBorder="1" applyAlignment="1">
      <alignment horizontal="right" vertical="center"/>
    </xf>
    <xf numFmtId="171" fontId="3" fillId="0" borderId="40" xfId="4" applyNumberFormat="1" applyFont="1" applyFill="1" applyBorder="1" applyAlignment="1">
      <alignment horizontal="right" vertical="center"/>
    </xf>
    <xf numFmtId="171" fontId="3" fillId="0" borderId="44" xfId="4" applyNumberFormat="1" applyFont="1" applyFill="1" applyBorder="1" applyAlignment="1">
      <alignment horizontal="right" vertical="center"/>
    </xf>
    <xf numFmtId="171" fontId="3" fillId="0" borderId="0" xfId="4" applyNumberFormat="1" applyFont="1" applyFill="1" applyBorder="1" applyAlignment="1">
      <alignment horizontal="right" vertical="center"/>
    </xf>
    <xf numFmtId="171" fontId="3" fillId="0" borderId="45" xfId="4" applyNumberFormat="1" applyFont="1" applyFill="1" applyBorder="1" applyAlignment="1">
      <alignment horizontal="right" vertical="center"/>
    </xf>
    <xf numFmtId="171" fontId="3" fillId="0" borderId="41" xfId="4" applyNumberFormat="1" applyFont="1" applyFill="1" applyBorder="1" applyAlignment="1">
      <alignment horizontal="right" vertical="center"/>
    </xf>
    <xf numFmtId="171" fontId="3" fillId="0" borderId="42" xfId="4" applyNumberFormat="1" applyFont="1" applyFill="1" applyBorder="1" applyAlignment="1">
      <alignment horizontal="right" vertical="center"/>
    </xf>
    <xf numFmtId="171" fontId="3" fillId="0" borderId="43" xfId="4" applyNumberFormat="1" applyFont="1" applyFill="1" applyBorder="1" applyAlignment="1">
      <alignment horizontal="right" vertical="center"/>
    </xf>
    <xf numFmtId="164" fontId="4" fillId="4" borderId="46" xfId="4" applyNumberFormat="1" applyFont="1" applyFill="1" applyBorder="1" applyAlignment="1">
      <alignment vertical="center"/>
    </xf>
    <xf numFmtId="171" fontId="4" fillId="4" borderId="46" xfId="4" applyNumberFormat="1" applyFont="1" applyFill="1" applyBorder="1" applyAlignment="1">
      <alignment horizontal="right" vertical="center"/>
    </xf>
    <xf numFmtId="164" fontId="4" fillId="0" borderId="46" xfId="4" applyNumberFormat="1" applyFont="1" applyFill="1" applyBorder="1" applyAlignment="1">
      <alignment vertical="center"/>
    </xf>
    <xf numFmtId="171" fontId="4" fillId="0" borderId="46" xfId="4" applyNumberFormat="1" applyFont="1" applyFill="1" applyBorder="1" applyAlignment="1">
      <alignment horizontal="right" vertical="center"/>
    </xf>
    <xf numFmtId="4" fontId="0" fillId="0" borderId="42" xfId="0" applyNumberFormat="1" applyBorder="1"/>
    <xf numFmtId="164" fontId="3" fillId="0" borderId="49" xfId="7" applyNumberFormat="1" applyFont="1" applyFill="1" applyBorder="1" applyAlignment="1">
      <alignment horizontal="right"/>
    </xf>
    <xf numFmtId="0" fontId="0" fillId="0" borderId="42" xfId="0" applyBorder="1"/>
    <xf numFmtId="164" fontId="0" fillId="0" borderId="49" xfId="0" applyNumberFormat="1" applyBorder="1"/>
    <xf numFmtId="164" fontId="31" fillId="0" borderId="0" xfId="0" applyNumberFormat="1" applyFont="1" applyAlignment="1">
      <alignment horizontal="right"/>
    </xf>
    <xf numFmtId="164" fontId="4" fillId="0" borderId="0" xfId="0" applyNumberFormat="1" applyFont="1"/>
    <xf numFmtId="164" fontId="3" fillId="0" borderId="0" xfId="4" applyNumberFormat="1" applyFont="1" applyFill="1" applyBorder="1" applyAlignment="1">
      <alignment horizontal="right"/>
    </xf>
    <xf numFmtId="164" fontId="3" fillId="0" borderId="61" xfId="0" applyNumberFormat="1" applyFont="1" applyBorder="1"/>
    <xf numFmtId="164" fontId="0" fillId="0" borderId="45" xfId="0" applyNumberFormat="1" applyBorder="1"/>
    <xf numFmtId="164" fontId="3" fillId="0" borderId="43" xfId="0" applyNumberFormat="1" applyFont="1" applyBorder="1"/>
    <xf numFmtId="164" fontId="27" fillId="0" borderId="0" xfId="0" applyNumberFormat="1" applyFont="1"/>
    <xf numFmtId="164" fontId="27" fillId="0" borderId="0" xfId="0" applyNumberFormat="1" applyFont="1" applyAlignment="1">
      <alignment vertical="center"/>
    </xf>
    <xf numFmtId="164" fontId="3" fillId="0" borderId="39" xfId="4" applyNumberFormat="1" applyFont="1" applyFill="1" applyBorder="1" applyAlignment="1">
      <alignment horizontal="right"/>
    </xf>
    <xf numFmtId="164" fontId="3" fillId="0" borderId="42" xfId="0" applyNumberFormat="1" applyFont="1" applyBorder="1"/>
    <xf numFmtId="164" fontId="9" fillId="0" borderId="45" xfId="0" applyNumberFormat="1" applyFont="1" applyBorder="1"/>
    <xf numFmtId="173" fontId="94" fillId="0" borderId="0" xfId="0" applyNumberFormat="1" applyFont="1" applyAlignment="1">
      <alignment horizontal="right"/>
    </xf>
    <xf numFmtId="0" fontId="86" fillId="8" borderId="0" xfId="9" applyFont="1" applyFill="1" applyAlignment="1">
      <alignment horizontal="left" vertical="center" indent="1"/>
    </xf>
    <xf numFmtId="0" fontId="0" fillId="8" borderId="0" xfId="0" applyFill="1" applyAlignment="1">
      <alignment horizontal="left" vertical="center"/>
    </xf>
    <xf numFmtId="0" fontId="82" fillId="8" borderId="21" xfId="0" applyFont="1" applyFill="1" applyBorder="1" applyAlignment="1">
      <alignment horizontal="left" vertical="center"/>
    </xf>
    <xf numFmtId="0" fontId="82" fillId="8" borderId="22" xfId="0" applyFont="1" applyFill="1" applyBorder="1" applyAlignment="1">
      <alignment horizontal="left" vertical="center"/>
    </xf>
    <xf numFmtId="0" fontId="0" fillId="8" borderId="23" xfId="0" applyFill="1" applyBorder="1" applyAlignment="1">
      <alignment horizontal="left" vertical="center"/>
    </xf>
    <xf numFmtId="0" fontId="0" fillId="8" borderId="22" xfId="0" applyFill="1" applyBorder="1" applyAlignment="1">
      <alignment horizontal="left" vertical="center"/>
    </xf>
    <xf numFmtId="0" fontId="87" fillId="8" borderId="0" xfId="9" applyFont="1" applyFill="1" applyAlignment="1">
      <alignment horizontal="left" vertical="center" indent="1"/>
    </xf>
    <xf numFmtId="0" fontId="83" fillId="3" borderId="0" xfId="0" applyFont="1" applyFill="1" applyAlignment="1">
      <alignment horizontal="left" vertical="center"/>
    </xf>
    <xf numFmtId="0" fontId="81" fillId="8" borderId="0" xfId="0" applyFont="1" applyFill="1" applyAlignment="1">
      <alignment horizontal="left" vertical="center" indent="1"/>
    </xf>
    <xf numFmtId="0" fontId="81" fillId="8" borderId="20" xfId="0" applyFont="1" applyFill="1" applyBorder="1" applyAlignment="1">
      <alignment horizontal="left" vertical="center" indent="1"/>
    </xf>
    <xf numFmtId="0" fontId="37" fillId="8" borderId="0" xfId="0" applyFont="1" applyFill="1" applyAlignment="1">
      <alignment horizontal="left" vertical="center"/>
    </xf>
    <xf numFmtId="0" fontId="37" fillId="8" borderId="20" xfId="0" applyFont="1" applyFill="1" applyBorder="1" applyAlignment="1">
      <alignment horizontal="left" vertical="center"/>
    </xf>
    <xf numFmtId="188" fontId="0" fillId="8" borderId="23" xfId="0" applyNumberFormat="1" applyFill="1" applyBorder="1" applyAlignment="1">
      <alignment horizontal="left" vertical="center"/>
    </xf>
    <xf numFmtId="188" fontId="0" fillId="8" borderId="22" xfId="0" applyNumberFormat="1" applyFill="1" applyBorder="1" applyAlignment="1">
      <alignment horizontal="left" vertical="center"/>
    </xf>
    <xf numFmtId="0" fontId="27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</cellXfs>
  <cellStyles count="10">
    <cellStyle name="Comma 2" xfId="4" xr:uid="{57693E6E-085C-4185-BA49-C9ED006B6ECE}"/>
    <cellStyle name="Comma 2 2" xfId="3" xr:uid="{2482A41D-5AC8-4063-8CC6-12DB5B5DE0D4}"/>
    <cellStyle name="Currency" xfId="8" builtinId="4"/>
    <cellStyle name="Currency 2" xfId="7" xr:uid="{96561C36-F26D-4C00-A9B2-49A44F4B2EB0}"/>
    <cellStyle name="Hyperlink" xfId="9" builtinId="8"/>
    <cellStyle name="Normal" xfId="0" builtinId="0"/>
    <cellStyle name="Normal 2" xfId="5" xr:uid="{C55064FF-016C-4B9C-BC4E-42894D8D3CA4}"/>
    <cellStyle name="Normal 2 2 2" xfId="1" xr:uid="{4B8D56AD-3697-4BB4-9DEE-BF18447B2F29}"/>
    <cellStyle name="Percent" xfId="2" builtinId="5"/>
    <cellStyle name="Percent 2" xfId="6" xr:uid="{FC232956-6652-4A80-813E-35C6E69648A4}"/>
  </cellStyles>
  <dxfs count="8"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62579677540307"/>
          <c:y val="0.1759260670890164"/>
          <c:w val="0.77448678290213724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Dashboard!$S$6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Dashboard!$T$4:$X$4</c:f>
              <c:numCache>
                <c:formatCode>0"F"\ 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Dashboard!$T$6:$X$6</c:f>
              <c:numCache>
                <c:formatCode>"₹"\ #,##0</c:formatCode>
                <c:ptCount val="5"/>
                <c:pt idx="0">
                  <c:v>66277.05</c:v>
                </c:pt>
                <c:pt idx="1">
                  <c:v>71711.768100000001</c:v>
                </c:pt>
                <c:pt idx="2">
                  <c:v>77448.709548000013</c:v>
                </c:pt>
                <c:pt idx="3">
                  <c:v>82870.119216360021</c:v>
                </c:pt>
                <c:pt idx="4">
                  <c:v>87842.326369341623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8-44E6-BAAA-D7AB14EF62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8"/>
        <c:overlap val="-27"/>
        <c:axId val="1918714879"/>
        <c:axId val="1918717279"/>
      </c:barChart>
      <c:lineChart>
        <c:grouping val="standard"/>
        <c:varyColors val="0"/>
        <c:ser>
          <c:idx val="1"/>
          <c:order val="1"/>
          <c:tx>
            <c:strRef>
              <c:f>Dashboard!$S$10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Curved/>
                    </ask:type>
                  </ask:lineSketchStyleProps>
                </a:ext>
              </a:extLst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Dashboard!$T$10:$X$10</c:f>
              <c:numCache>
                <c:formatCode>0.0%</c:formatCode>
                <c:ptCount val="5"/>
                <c:pt idx="0">
                  <c:v>0.23859185042182768</c:v>
                </c:pt>
                <c:pt idx="1">
                  <c:v>0.25725370949262638</c:v>
                </c:pt>
                <c:pt idx="2">
                  <c:v>0.27674179805571042</c:v>
                </c:pt>
                <c:pt idx="3">
                  <c:v>0.2936854362241248</c:v>
                </c:pt>
                <c:pt idx="4">
                  <c:v>0.31011722388082669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18-44E6-BAAA-D7AB14EF62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4378271"/>
        <c:axId val="1674384511"/>
      </c:lineChart>
      <c:catAx>
        <c:axId val="1918714879"/>
        <c:scaling>
          <c:orientation val="minMax"/>
        </c:scaling>
        <c:delete val="0"/>
        <c:axPos val="b"/>
        <c:numFmt formatCode="0&quot;F&quot;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17279"/>
        <c:crosses val="autoZero"/>
        <c:auto val="1"/>
        <c:lblAlgn val="ctr"/>
        <c:lblOffset val="100"/>
        <c:noMultiLvlLbl val="0"/>
      </c:catAx>
      <c:valAx>
        <c:axId val="1918717279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14879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3193350831146109E-3"/>
                <c:y val="0.37037037037037035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Thousands (Cr)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674384511"/>
        <c:scaling>
          <c:orientation val="minMax"/>
          <c:max val="0.4"/>
          <c:min val="0.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378271"/>
        <c:crosses val="max"/>
        <c:crossBetween val="between"/>
      </c:valAx>
      <c:catAx>
        <c:axId val="1674378271"/>
        <c:scaling>
          <c:orientation val="minMax"/>
        </c:scaling>
        <c:delete val="1"/>
        <c:axPos val="b"/>
        <c:majorTickMark val="out"/>
        <c:minorTickMark val="none"/>
        <c:tickLblPos val="nextTo"/>
        <c:crossAx val="16743845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074365704286964"/>
          <c:y val="5.1503937007874014E-2"/>
          <c:w val="0.55240157480314966"/>
          <c:h val="0.14294036162146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Dashboard!$S$16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Dashboard!$T$4:$X$4</c:f>
              <c:numCache>
                <c:formatCode>0"F"\ 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Dashboard!$T$16:$X$16</c:f>
              <c:numCache>
                <c:formatCode>"₹"\ #,##0</c:formatCode>
                <c:ptCount val="5"/>
                <c:pt idx="0">
                  <c:v>32045.744000000002</c:v>
                </c:pt>
                <c:pt idx="1">
                  <c:v>34769.632239999999</c:v>
                </c:pt>
                <c:pt idx="2">
                  <c:v>37412.124290240004</c:v>
                </c:pt>
                <c:pt idx="3">
                  <c:v>39843.912369105601</c:v>
                </c:pt>
                <c:pt idx="4">
                  <c:v>42035.327549406407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6-4DB1-A6B0-4FF24B3C18CB}"/>
            </c:ext>
          </c:extLst>
        </c:ser>
        <c:ser>
          <c:idx val="1"/>
          <c:order val="1"/>
          <c:tx>
            <c:strRef>
              <c:f>Dashboard!$S$17</c:f>
              <c:strCache>
                <c:ptCount val="1"/>
                <c:pt idx="0">
                  <c:v>SG&amp;A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Dashboard!$T$4:$X$4</c:f>
              <c:numCache>
                <c:formatCode>0"F"\ 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Dashboard!$T$17:$X$17</c:f>
              <c:numCache>
                <c:formatCode>"₹"\ #,##0</c:formatCode>
                <c:ptCount val="5"/>
                <c:pt idx="0">
                  <c:v>3218.5419999999999</c:v>
                </c:pt>
                <c:pt idx="1">
                  <c:v>3366.594932</c:v>
                </c:pt>
                <c:pt idx="2">
                  <c:v>3521.4582988719999</c:v>
                </c:pt>
                <c:pt idx="3">
                  <c:v>3683.4453806201122</c:v>
                </c:pt>
                <c:pt idx="4">
                  <c:v>3852.8838681286375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26-4DB1-A6B0-4FF24B3C18CB}"/>
            </c:ext>
          </c:extLst>
        </c:ser>
        <c:ser>
          <c:idx val="2"/>
          <c:order val="2"/>
          <c:tx>
            <c:strRef>
              <c:f>Dashboard!$S$18</c:f>
              <c:strCache>
                <c:ptCount val="1"/>
                <c:pt idx="0">
                  <c:v>Other Operating Expenses</c:v>
                </c:pt>
              </c:strCache>
            </c:strRef>
          </c:tx>
          <c:spPr>
            <a:solidFill>
              <a:schemeClr val="bg2"/>
            </a:solidFill>
            <a:ln w="25400">
              <a:noFill/>
            </a:ln>
            <a:effectLst/>
          </c:spPr>
          <c:cat>
            <c:numRef>
              <c:f>Dashboard!$T$4:$X$4</c:f>
              <c:numCache>
                <c:formatCode>0"F"\ 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Dashboard!$T$18:$X$18</c:f>
              <c:numCache>
                <c:formatCode>"₹"\ #,##0</c:formatCode>
                <c:ptCount val="5"/>
                <c:pt idx="0">
                  <c:v>15199.6</c:v>
                </c:pt>
                <c:pt idx="1">
                  <c:v>16339.57</c:v>
                </c:pt>
                <c:pt idx="2">
                  <c:v>17516.019039999999</c:v>
                </c:pt>
                <c:pt idx="3">
                  <c:v>18602.012220479999</c:v>
                </c:pt>
                <c:pt idx="4">
                  <c:v>19625.1228926064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26-4DB1-A6B0-4FF24B3C18CB}"/>
            </c:ext>
          </c:extLst>
        </c:ser>
        <c:ser>
          <c:idx val="3"/>
          <c:order val="3"/>
          <c:tx>
            <c:strRef>
              <c:f>Dashboard!$S$19</c:f>
              <c:strCache>
                <c:ptCount val="1"/>
                <c:pt idx="0">
                  <c:v>Depreciation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Dashboard!$T$4:$X$4</c:f>
              <c:numCache>
                <c:formatCode>0"F"\ 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Dashboard!$T$19:$X$19</c:f>
              <c:numCache>
                <c:formatCode>"₹"\ #,##0</c:formatCode>
                <c:ptCount val="5"/>
                <c:pt idx="0">
                  <c:v>1354.0031397174255</c:v>
                </c:pt>
                <c:pt idx="1">
                  <c:v>1456.1106397174256</c:v>
                </c:pt>
                <c:pt idx="2">
                  <c:v>1566.5909547174256</c:v>
                </c:pt>
                <c:pt idx="3">
                  <c:v>1685.9096949174254</c:v>
                </c:pt>
                <c:pt idx="4">
                  <c:v>1813.5807469314254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26-4DB1-A6B0-4FF24B3C18CB}"/>
            </c:ext>
          </c:extLst>
        </c:ser>
        <c:ser>
          <c:idx val="4"/>
          <c:order val="4"/>
          <c:tx>
            <c:strRef>
              <c:f>Dashboard!$S$20</c:f>
              <c:strCache>
                <c:ptCount val="1"/>
                <c:pt idx="0">
                  <c:v>Other Income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Dashboard!$T$4:$X$4</c:f>
              <c:numCache>
                <c:formatCode>0"F"\ 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Dashboard!$T$20:$X$20</c:f>
              <c:numCache>
                <c:formatCode>"₹"\ #,##0</c:formatCode>
                <c:ptCount val="5"/>
                <c:pt idx="0">
                  <c:v>994.15575000000001</c:v>
                </c:pt>
                <c:pt idx="1">
                  <c:v>1075.6765215</c:v>
                </c:pt>
                <c:pt idx="2">
                  <c:v>1161.73064322</c:v>
                </c:pt>
                <c:pt idx="3">
                  <c:v>1243.0517882454003</c:v>
                </c:pt>
                <c:pt idx="4">
                  <c:v>1317.6348955401243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26-4DB1-A6B0-4FF24B3C1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858880"/>
        <c:axId val="751845920"/>
      </c:areaChart>
      <c:catAx>
        <c:axId val="751858880"/>
        <c:scaling>
          <c:orientation val="minMax"/>
        </c:scaling>
        <c:delete val="0"/>
        <c:axPos val="b"/>
        <c:numFmt formatCode="0&quot;F&quot;\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845920"/>
        <c:crosses val="autoZero"/>
        <c:auto val="1"/>
        <c:lblAlgn val="ctr"/>
        <c:lblOffset val="100"/>
        <c:noMultiLvlLbl val="0"/>
      </c:catAx>
      <c:valAx>
        <c:axId val="751845920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858880"/>
        <c:crosses val="autoZero"/>
        <c:crossBetween val="midCat"/>
        <c:dispUnits>
          <c:builtInUnit val="thousands"/>
          <c:dispUnitsLbl>
            <c:layout>
              <c:manualLayout>
                <c:xMode val="edge"/>
                <c:yMode val="edge"/>
                <c:x val="2.8932722204652723E-2"/>
                <c:y val="0.41309182886792617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Thousands (Cr)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014219408074387"/>
          <c:y val="3.888888888888889E-2"/>
          <c:w val="0.57676260481715658"/>
          <c:h val="0.29930621172353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Dashboard!$S$12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Dashboard!$T$4:$X$4</c:f>
              <c:numCache>
                <c:formatCode>0"F"\ 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Dashboard!$T$12:$X$12</c:f>
              <c:numCache>
                <c:formatCode>0.0%</c:formatCode>
                <c:ptCount val="5"/>
                <c:pt idx="0">
                  <c:v>0.21462843766590151</c:v>
                </c:pt>
                <c:pt idx="1">
                  <c:v>0.23201196712056926</c:v>
                </c:pt>
                <c:pt idx="2">
                  <c:v>0.25280452920722002</c:v>
                </c:pt>
                <c:pt idx="3">
                  <c:v>0.27156201812922903</c:v>
                </c:pt>
                <c:pt idx="4">
                  <c:v>0.28662038276277707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41-46B1-B959-6FD8B4FA6CC0}"/>
            </c:ext>
          </c:extLst>
        </c:ser>
        <c:ser>
          <c:idx val="1"/>
          <c:order val="1"/>
          <c:tx>
            <c:strRef>
              <c:f>Dashboard!$S$11</c:f>
              <c:strCache>
                <c:ptCount val="1"/>
                <c:pt idx="0">
                  <c:v>ROCE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Dashboard!$T$11:$X$11</c:f>
              <c:numCache>
                <c:formatCode>0.0%</c:formatCode>
                <c:ptCount val="5"/>
                <c:pt idx="0">
                  <c:v>0.28105556803205373</c:v>
                </c:pt>
                <c:pt idx="1">
                  <c:v>0.30150207720266275</c:v>
                </c:pt>
                <c:pt idx="2">
                  <c:v>0.32682754497859584</c:v>
                </c:pt>
                <c:pt idx="3">
                  <c:v>0.34997595736899273</c:v>
                </c:pt>
                <c:pt idx="4">
                  <c:v>0.36865410614614941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41-46B1-B959-6FD8B4FA6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6999711"/>
        <c:axId val="1907005951"/>
      </c:lineChart>
      <c:catAx>
        <c:axId val="1906999711"/>
        <c:scaling>
          <c:orientation val="minMax"/>
        </c:scaling>
        <c:delete val="0"/>
        <c:axPos val="b"/>
        <c:numFmt formatCode="0&quot;F&quot;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005951"/>
        <c:crosses val="autoZero"/>
        <c:auto val="1"/>
        <c:lblAlgn val="ctr"/>
        <c:lblOffset val="100"/>
        <c:noMultiLvlLbl val="0"/>
      </c:catAx>
      <c:valAx>
        <c:axId val="190700595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99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334219160104987"/>
          <c:y val="6.4814814814814811E-2"/>
          <c:w val="0.33883355205599303"/>
          <c:h val="0.16060987168270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Dashboard!$S$25</c:f>
              <c:strCache>
                <c:ptCount val="1"/>
                <c:pt idx="0">
                  <c:v>Cash From Operations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Dashboard!$T$25:$X$25</c:f>
              <c:numCache>
                <c:formatCode>"₹"\ #,##0</c:formatCode>
                <c:ptCount val="5"/>
                <c:pt idx="0">
                  <c:v>10024.670783148626</c:v>
                </c:pt>
                <c:pt idx="1">
                  <c:v>14136.031780252746</c:v>
                </c:pt>
                <c:pt idx="2">
                  <c:v>15674.518697333477</c:v>
                </c:pt>
                <c:pt idx="3">
                  <c:v>16909.560577205499</c:v>
                </c:pt>
                <c:pt idx="4">
                  <c:v>18131.782607093439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6-46C4-B711-87A24B04BB36}"/>
            </c:ext>
          </c:extLst>
        </c:ser>
        <c:ser>
          <c:idx val="1"/>
          <c:order val="1"/>
          <c:tx>
            <c:strRef>
              <c:f>Dashboard!$S$26</c:f>
              <c:strCache>
                <c:ptCount val="1"/>
                <c:pt idx="0">
                  <c:v>Cash From Investing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Dashboard!$T$26:$X$26</c:f>
              <c:numCache>
                <c:formatCode>"₹"\ #,##0</c:formatCode>
                <c:ptCount val="5"/>
                <c:pt idx="0">
                  <c:v>-1458.0951</c:v>
                </c:pt>
                <c:pt idx="1">
                  <c:v>-1577.6588981999998</c:v>
                </c:pt>
                <c:pt idx="2">
                  <c:v>-1703.8716100560002</c:v>
                </c:pt>
                <c:pt idx="3">
                  <c:v>-1823.1426227599204</c:v>
                </c:pt>
                <c:pt idx="4">
                  <c:v>-1932.5311801255157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76-46C4-B711-87A24B04BB36}"/>
            </c:ext>
          </c:extLst>
        </c:ser>
        <c:ser>
          <c:idx val="2"/>
          <c:order val="2"/>
          <c:tx>
            <c:strRef>
              <c:f>Dashboard!$S$27</c:f>
              <c:strCache>
                <c:ptCount val="1"/>
                <c:pt idx="0">
                  <c:v>Cash From Financing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Dashboard!$T$27:$X$27</c:f>
              <c:numCache>
                <c:formatCode>"₹"\ #,##0</c:formatCode>
                <c:ptCount val="5"/>
                <c:pt idx="0">
                  <c:v>-9987.3973784275549</c:v>
                </c:pt>
                <c:pt idx="1">
                  <c:v>-10991.080467874377</c:v>
                </c:pt>
                <c:pt idx="2">
                  <c:v>-12213.72141015385</c:v>
                </c:pt>
                <c:pt idx="3">
                  <c:v>-13403.00607305676</c:v>
                </c:pt>
                <c:pt idx="4">
                  <c:v>-14471.255910724683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76-46C4-B711-87A24B04B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9756767"/>
        <c:axId val="1909751967"/>
      </c:barChart>
      <c:lineChart>
        <c:grouping val="standard"/>
        <c:varyColors val="0"/>
        <c:ser>
          <c:idx val="3"/>
          <c:order val="3"/>
          <c:tx>
            <c:strRef>
              <c:f>Dashboard!$S$28</c:f>
              <c:strCache>
                <c:ptCount val="1"/>
                <c:pt idx="0">
                  <c:v>Cash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Dashboard!$T$28:$X$28</c:f>
              <c:numCache>
                <c:formatCode>"₹"\ #,##0</c:formatCode>
                <c:ptCount val="5"/>
                <c:pt idx="0">
                  <c:v>4685.1783047210702</c:v>
                </c:pt>
                <c:pt idx="1">
                  <c:v>6252.4707188994398</c:v>
                </c:pt>
                <c:pt idx="2">
                  <c:v>8009.3963960230667</c:v>
                </c:pt>
                <c:pt idx="3">
                  <c:v>9692.8082774118848</c:v>
                </c:pt>
                <c:pt idx="4">
                  <c:v>11420.803793655125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76-46C4-B711-87A24B04B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685071"/>
        <c:axId val="1991687951"/>
      </c:lineChart>
      <c:catAx>
        <c:axId val="190975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751967"/>
        <c:crosses val="autoZero"/>
        <c:auto val="1"/>
        <c:lblAlgn val="ctr"/>
        <c:lblOffset val="100"/>
        <c:noMultiLvlLbl val="0"/>
      </c:catAx>
      <c:valAx>
        <c:axId val="1909751967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756767"/>
        <c:crosses val="autoZero"/>
        <c:crossBetween val="between"/>
      </c:valAx>
      <c:valAx>
        <c:axId val="1991687951"/>
        <c:scaling>
          <c:orientation val="minMax"/>
        </c:scaling>
        <c:delete val="0"/>
        <c:axPos val="r"/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685071"/>
        <c:crosses val="max"/>
        <c:crossBetween val="between"/>
      </c:valAx>
      <c:catAx>
        <c:axId val="1991685071"/>
        <c:scaling>
          <c:orientation val="minMax"/>
        </c:scaling>
        <c:delete val="1"/>
        <c:axPos val="b"/>
        <c:majorTickMark val="out"/>
        <c:minorTickMark val="none"/>
        <c:tickLblPos val="nextTo"/>
        <c:crossAx val="1991687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Assumptions!$C$6" fmlaRange="Assumptions!$B$9:$B$11" noThreeD="1" sel="2" val="0"/>
</file>

<file path=xl/ctrlProps/ctrlProp2.xml><?xml version="1.0" encoding="utf-8"?>
<formControlPr xmlns="http://schemas.microsoft.com/office/spreadsheetml/2009/9/main" objectType="Drop" dropStyle="combo" dx="22" fmlaLink="$C$6" fmlaRange="$B$9:$B$11" noThreeD="1" sel="2" val="0"/>
</file>

<file path=xl/ctrlProps/ctrlProp3.xml><?xml version="1.0" encoding="utf-8"?>
<formControlPr xmlns="http://schemas.microsoft.com/office/spreadsheetml/2009/9/main" objectType="Drop" dropStyle="combo" dx="22" fmlaLink="Assumptions!$C$6" fmlaRange="Assumptions!$B$9:$B$11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295274</xdr:rowOff>
    </xdr:from>
    <xdr:to>
      <xdr:col>8</xdr:col>
      <xdr:colOff>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140A2A-DC73-D87B-B1AF-341994F6D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562707</xdr:colOff>
      <xdr:row>2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94FF10-FAC7-4712-9488-667D5C43F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114300</xdr:rowOff>
    </xdr:from>
    <xdr:to>
      <xdr:col>8</xdr:col>
      <xdr:colOff>0</xdr:colOff>
      <xdr:row>33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F38312-DAAB-8DE8-55ED-6CC0CB98F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33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49FEC1-4701-D161-9043-4296CF8BA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</xdr:row>
          <xdr:rowOff>0</xdr:rowOff>
        </xdr:from>
        <xdr:to>
          <xdr:col>21</xdr:col>
          <xdr:colOff>238125</xdr:colOff>
          <xdr:row>2</xdr:row>
          <xdr:rowOff>0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2419350</xdr:colOff>
          <xdr:row>5</xdr:row>
          <xdr:rowOff>0</xdr:rowOff>
        </xdr:from>
        <xdr:to>
          <xdr:col>3</xdr:col>
          <xdr:colOff>600075</xdr:colOff>
          <xdr:row>6</xdr:row>
          <xdr:rowOff>47625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200025</xdr:rowOff>
        </xdr:from>
        <xdr:to>
          <xdr:col>4</xdr:col>
          <xdr:colOff>400050</xdr:colOff>
          <xdr:row>5</xdr:row>
          <xdr:rowOff>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6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6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907D55-4B2E-4758-829B-F0FB35B4ADD1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C227-0EF6-4EA5-BC2C-2A189281C584}">
  <sheetPr>
    <pageSetUpPr fitToPage="1"/>
  </sheetPr>
  <dimension ref="B2:T33"/>
  <sheetViews>
    <sheetView showGridLines="0" tabSelected="1" workbookViewId="0"/>
  </sheetViews>
  <sheetFormatPr defaultRowHeight="15"/>
  <cols>
    <col min="1" max="1" width="4.7109375" style="217" customWidth="1"/>
    <col min="2" max="2" width="4.28515625" style="217" customWidth="1"/>
    <col min="3" max="13" width="9.140625" style="217"/>
    <col min="14" max="14" width="12" style="217" bestFit="1" customWidth="1"/>
    <col min="15" max="15" width="3.28515625" style="217" customWidth="1"/>
    <col min="16" max="16" width="10.42578125" style="217" customWidth="1"/>
    <col min="17" max="17" width="9.140625" style="217"/>
    <col min="18" max="18" width="10.140625" style="217" bestFit="1" customWidth="1"/>
    <col min="19" max="16384" width="9.140625" style="217"/>
  </cols>
  <sheetData>
    <row r="2" spans="2:20"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</row>
    <row r="3" spans="2:20" ht="15" customHeight="1">
      <c r="B3" s="219"/>
      <c r="C3" s="499" t="s">
        <v>281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27"/>
      <c r="Q3" s="224"/>
      <c r="R3" s="102"/>
      <c r="S3" s="102"/>
    </row>
    <row r="4" spans="2:20" ht="15" customHeight="1">
      <c r="B4" s="219"/>
      <c r="C4" s="499"/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  <c r="P4" s="27"/>
      <c r="Q4" s="224"/>
      <c r="R4" s="102"/>
      <c r="S4" s="102"/>
    </row>
    <row r="5" spans="2:20" ht="15" customHeight="1">
      <c r="B5" s="21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27"/>
      <c r="Q5" s="224"/>
      <c r="R5" s="223"/>
      <c r="S5" s="223"/>
    </row>
    <row r="6" spans="2:20" ht="15" customHeight="1">
      <c r="B6" s="219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499"/>
      <c r="P6" s="27"/>
      <c r="Q6" s="224"/>
      <c r="R6" s="102"/>
      <c r="S6" s="102"/>
    </row>
    <row r="7" spans="2:20" ht="15" customHeight="1">
      <c r="B7" s="219"/>
      <c r="C7" s="499"/>
      <c r="D7" s="499"/>
      <c r="E7" s="499"/>
      <c r="F7" s="499"/>
      <c r="G7" s="499"/>
      <c r="H7" s="499"/>
      <c r="I7" s="499"/>
      <c r="J7" s="499"/>
      <c r="K7" s="499"/>
      <c r="L7" s="499"/>
      <c r="M7" s="499"/>
      <c r="N7" s="499"/>
      <c r="O7" s="499"/>
      <c r="P7" s="27"/>
      <c r="Q7" s="224"/>
      <c r="R7" s="102"/>
      <c r="S7" s="102"/>
    </row>
    <row r="8" spans="2:20" ht="15" customHeight="1">
      <c r="B8" s="219"/>
      <c r="C8" s="222" t="s">
        <v>282</v>
      </c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19"/>
      <c r="Q8" s="219"/>
      <c r="R8" s="219"/>
      <c r="S8" s="219"/>
    </row>
    <row r="9" spans="2:20">
      <c r="B9" s="219"/>
      <c r="C9" s="220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</row>
    <row r="10" spans="2:20">
      <c r="B10" s="218"/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</row>
    <row r="11" spans="2:20" ht="16.5" customHeight="1">
      <c r="B11" s="218"/>
      <c r="C11" s="500" t="s">
        <v>288</v>
      </c>
      <c r="D11" s="500"/>
      <c r="E11" s="500"/>
      <c r="F11" s="500"/>
      <c r="G11" s="500"/>
      <c r="H11" s="500"/>
      <c r="I11" s="500"/>
      <c r="J11" s="218"/>
      <c r="K11" s="218"/>
      <c r="L11" s="218"/>
      <c r="M11" s="218"/>
      <c r="N11" s="502" t="s">
        <v>304</v>
      </c>
      <c r="O11" s="502"/>
      <c r="P11" s="502"/>
      <c r="Q11" s="502"/>
      <c r="R11" s="502"/>
      <c r="S11" s="218"/>
    </row>
    <row r="12" spans="2:20" ht="15.75" customHeight="1" thickBot="1">
      <c r="B12" s="218"/>
      <c r="C12" s="501"/>
      <c r="D12" s="501"/>
      <c r="E12" s="501"/>
      <c r="F12" s="501"/>
      <c r="G12" s="501"/>
      <c r="H12" s="501"/>
      <c r="I12" s="501"/>
      <c r="J12" s="218"/>
      <c r="K12" s="218"/>
      <c r="L12" s="218"/>
      <c r="M12" s="218"/>
      <c r="N12" s="503"/>
      <c r="O12" s="503"/>
      <c r="P12" s="503"/>
      <c r="Q12" s="503"/>
      <c r="R12" s="503"/>
      <c r="S12" s="227"/>
      <c r="T12" s="228"/>
    </row>
    <row r="13" spans="2:20" ht="15.75">
      <c r="B13" s="218"/>
      <c r="C13" s="226" t="s">
        <v>303</v>
      </c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494" t="s">
        <v>286</v>
      </c>
      <c r="O13" s="494" t="s">
        <v>300</v>
      </c>
      <c r="P13" s="494" t="s">
        <v>289</v>
      </c>
      <c r="Q13" s="494"/>
      <c r="R13" s="494"/>
      <c r="S13" s="227"/>
      <c r="T13" s="228"/>
    </row>
    <row r="14" spans="2:20" ht="15.75">
      <c r="B14" s="218"/>
      <c r="C14" s="498" t="s">
        <v>294</v>
      </c>
      <c r="D14" s="498"/>
      <c r="E14" s="498"/>
      <c r="F14" s="498"/>
      <c r="G14" s="498"/>
      <c r="H14" s="498"/>
      <c r="I14" s="498"/>
      <c r="J14" s="218"/>
      <c r="K14" s="218"/>
      <c r="L14" s="218"/>
      <c r="M14" s="218"/>
      <c r="N14" s="495"/>
      <c r="O14" s="495"/>
      <c r="P14" s="495"/>
      <c r="Q14" s="495"/>
      <c r="R14" s="495"/>
      <c r="S14" s="227"/>
    </row>
    <row r="15" spans="2:20" ht="15.75">
      <c r="B15" s="218"/>
      <c r="C15" s="498"/>
      <c r="D15" s="498"/>
      <c r="E15" s="498"/>
      <c r="F15" s="498"/>
      <c r="G15" s="498"/>
      <c r="H15" s="498"/>
      <c r="I15" s="498"/>
      <c r="J15" s="218"/>
      <c r="K15" s="218"/>
      <c r="L15" s="218"/>
      <c r="M15" s="218"/>
      <c r="N15" s="496" t="s">
        <v>283</v>
      </c>
      <c r="O15" s="496" t="s">
        <v>300</v>
      </c>
      <c r="P15" s="496" t="s">
        <v>290</v>
      </c>
      <c r="Q15" s="496"/>
      <c r="R15" s="496"/>
      <c r="S15" s="227"/>
    </row>
    <row r="16" spans="2:20" ht="15.75">
      <c r="B16" s="218"/>
      <c r="C16" s="492" t="s">
        <v>299</v>
      </c>
      <c r="D16" s="492"/>
      <c r="E16" s="492"/>
      <c r="F16" s="492"/>
      <c r="G16" s="492"/>
      <c r="H16" s="492"/>
      <c r="I16" s="492"/>
      <c r="J16" s="218"/>
      <c r="K16" s="218"/>
      <c r="L16" s="218"/>
      <c r="M16" s="218"/>
      <c r="N16" s="497"/>
      <c r="O16" s="497"/>
      <c r="P16" s="497"/>
      <c r="Q16" s="497"/>
      <c r="R16" s="497"/>
      <c r="S16" s="227"/>
    </row>
    <row r="17" spans="2:19" ht="15.75" customHeight="1">
      <c r="B17" s="218"/>
      <c r="C17" s="492"/>
      <c r="D17" s="492"/>
      <c r="E17" s="492"/>
      <c r="F17" s="492"/>
      <c r="G17" s="492"/>
      <c r="H17" s="492"/>
      <c r="I17" s="492"/>
      <c r="J17" s="218"/>
      <c r="K17" s="218"/>
      <c r="L17" s="218"/>
      <c r="M17" s="218"/>
      <c r="N17" s="496" t="s">
        <v>285</v>
      </c>
      <c r="O17" s="496" t="s">
        <v>300</v>
      </c>
      <c r="P17" s="504">
        <v>46174</v>
      </c>
      <c r="Q17" s="504"/>
      <c r="R17" s="504"/>
      <c r="S17" s="227"/>
    </row>
    <row r="18" spans="2:19" ht="15.75" customHeight="1">
      <c r="B18" s="218"/>
      <c r="C18" s="492" t="s">
        <v>298</v>
      </c>
      <c r="D18" s="492"/>
      <c r="E18" s="492"/>
      <c r="F18" s="492"/>
      <c r="G18" s="492"/>
      <c r="H18" s="492"/>
      <c r="I18" s="492"/>
      <c r="J18" s="218"/>
      <c r="K18" s="218"/>
      <c r="L18" s="218"/>
      <c r="M18" s="218"/>
      <c r="N18" s="497"/>
      <c r="O18" s="497"/>
      <c r="P18" s="505"/>
      <c r="Q18" s="505"/>
      <c r="R18" s="505"/>
      <c r="S18" s="227"/>
    </row>
    <row r="19" spans="2:19" ht="15.75" customHeight="1">
      <c r="B19" s="218"/>
      <c r="C19" s="492"/>
      <c r="D19" s="492"/>
      <c r="E19" s="492"/>
      <c r="F19" s="492"/>
      <c r="G19" s="492"/>
      <c r="H19" s="492"/>
      <c r="I19" s="492"/>
      <c r="J19" s="218"/>
      <c r="K19" s="218"/>
      <c r="L19" s="218"/>
      <c r="M19" s="218"/>
      <c r="N19" s="496" t="s">
        <v>284</v>
      </c>
      <c r="O19" s="496" t="s">
        <v>300</v>
      </c>
      <c r="P19" s="230" t="s">
        <v>307</v>
      </c>
      <c r="Q19" s="230"/>
      <c r="R19" s="230"/>
      <c r="S19" s="227"/>
    </row>
    <row r="20" spans="2:19" ht="15.75">
      <c r="B20" s="218"/>
      <c r="C20" s="492" t="s">
        <v>297</v>
      </c>
      <c r="D20" s="492"/>
      <c r="E20" s="492"/>
      <c r="F20" s="492"/>
      <c r="G20" s="492"/>
      <c r="H20" s="492"/>
      <c r="I20" s="492"/>
      <c r="J20" s="218"/>
      <c r="K20" s="218"/>
      <c r="L20" s="218"/>
      <c r="M20" s="218"/>
      <c r="N20" s="497"/>
      <c r="O20" s="497"/>
      <c r="P20" s="229" t="s">
        <v>308</v>
      </c>
      <c r="Q20" s="229"/>
      <c r="R20" s="229"/>
      <c r="S20" s="227"/>
    </row>
    <row r="21" spans="2:19" ht="15.75">
      <c r="B21" s="218"/>
      <c r="C21" s="492"/>
      <c r="D21" s="492"/>
      <c r="E21" s="492"/>
      <c r="F21" s="492"/>
      <c r="G21" s="492"/>
      <c r="H21" s="492"/>
      <c r="I21" s="492"/>
      <c r="J21" s="218"/>
      <c r="K21" s="218"/>
      <c r="L21" s="218"/>
      <c r="M21" s="218"/>
      <c r="N21" s="493" t="s">
        <v>287</v>
      </c>
      <c r="O21" s="493" t="s">
        <v>300</v>
      </c>
      <c r="P21" s="493" t="s">
        <v>293</v>
      </c>
      <c r="Q21" s="493"/>
      <c r="R21" s="493"/>
      <c r="S21" s="227"/>
    </row>
    <row r="22" spans="2:19" ht="15.75">
      <c r="B22" s="218"/>
      <c r="C22" s="492" t="s">
        <v>296</v>
      </c>
      <c r="D22" s="492"/>
      <c r="E22" s="492"/>
      <c r="F22" s="492"/>
      <c r="G22" s="492"/>
      <c r="H22" s="492"/>
      <c r="I22" s="492"/>
      <c r="J22" s="218"/>
      <c r="K22" s="218"/>
      <c r="L22" s="218"/>
      <c r="M22" s="218"/>
      <c r="N22" s="493"/>
      <c r="O22" s="493"/>
      <c r="P22" s="493"/>
      <c r="Q22" s="493"/>
      <c r="R22" s="493"/>
      <c r="S22" s="227"/>
    </row>
    <row r="23" spans="2:19" ht="15.75">
      <c r="B23" s="218"/>
      <c r="C23" s="492"/>
      <c r="D23" s="492"/>
      <c r="E23" s="492"/>
      <c r="F23" s="492"/>
      <c r="G23" s="492"/>
      <c r="H23" s="492"/>
      <c r="I23" s="492"/>
      <c r="J23" s="218"/>
      <c r="K23" s="218"/>
      <c r="L23" s="218"/>
      <c r="M23" s="218"/>
      <c r="N23" s="1"/>
      <c r="O23" s="218"/>
      <c r="P23" s="218"/>
      <c r="Q23" s="218"/>
      <c r="R23" s="218"/>
      <c r="S23" s="227"/>
    </row>
    <row r="24" spans="2:19" ht="15.75">
      <c r="B24" s="218"/>
      <c r="C24" s="492" t="s">
        <v>295</v>
      </c>
      <c r="D24" s="492"/>
      <c r="E24" s="492"/>
      <c r="F24" s="492"/>
      <c r="G24" s="492"/>
      <c r="H24" s="492"/>
      <c r="I24" s="492"/>
      <c r="J24" s="218"/>
      <c r="K24" s="218"/>
      <c r="L24" s="218"/>
      <c r="M24" s="218"/>
      <c r="N24" s="236" t="s">
        <v>306</v>
      </c>
      <c r="O24" s="231"/>
      <c r="P24" s="231"/>
      <c r="Q24" s="231"/>
      <c r="R24" s="232"/>
      <c r="S24" s="227"/>
    </row>
    <row r="25" spans="2:19" ht="15.75">
      <c r="B25" s="218"/>
      <c r="C25" s="492"/>
      <c r="D25" s="492"/>
      <c r="E25" s="492"/>
      <c r="F25" s="492"/>
      <c r="G25" s="492"/>
      <c r="H25" s="492"/>
      <c r="I25" s="492"/>
      <c r="J25" s="218"/>
      <c r="K25" s="218"/>
      <c r="L25" s="218"/>
      <c r="M25" s="218"/>
      <c r="N25" s="237" t="s">
        <v>309</v>
      </c>
      <c r="O25" s="218"/>
      <c r="P25" s="218"/>
      <c r="Q25" s="218"/>
      <c r="R25" s="233"/>
      <c r="S25" s="227"/>
    </row>
    <row r="26" spans="2:19" ht="15.75">
      <c r="B26" s="218"/>
      <c r="C26" s="492" t="s">
        <v>315</v>
      </c>
      <c r="D26" s="492"/>
      <c r="E26" s="492"/>
      <c r="F26" s="492"/>
      <c r="G26" s="492"/>
      <c r="H26" s="492"/>
      <c r="I26" s="492"/>
      <c r="J26" s="493"/>
      <c r="K26" s="218"/>
      <c r="L26" s="218"/>
      <c r="M26" s="218"/>
      <c r="N26" s="238" t="s">
        <v>310</v>
      </c>
      <c r="O26" s="234"/>
      <c r="P26" s="234"/>
      <c r="Q26" s="234"/>
      <c r="R26" s="235"/>
      <c r="S26" s="227"/>
    </row>
    <row r="27" spans="2:19" ht="15.75">
      <c r="B27" s="218"/>
      <c r="C27" s="492"/>
      <c r="D27" s="492"/>
      <c r="E27" s="492"/>
      <c r="F27" s="492"/>
      <c r="G27" s="492"/>
      <c r="H27" s="492"/>
      <c r="I27" s="492"/>
      <c r="J27" s="493"/>
      <c r="K27" s="218"/>
      <c r="L27" s="218"/>
      <c r="M27" s="218"/>
      <c r="N27" s="218"/>
      <c r="O27" s="218"/>
      <c r="P27" s="218"/>
      <c r="Q27" s="218"/>
      <c r="R27" s="218"/>
      <c r="S27" s="227"/>
    </row>
    <row r="28" spans="2:19" ht="15.75"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27"/>
    </row>
    <row r="29" spans="2:19" ht="15.75">
      <c r="B29" s="218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27"/>
    </row>
    <row r="30" spans="2:19" ht="15.75">
      <c r="B30" s="218"/>
      <c r="C30" s="225" t="s">
        <v>302</v>
      </c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/>
      <c r="O30" s="218"/>
      <c r="P30" s="218"/>
      <c r="Q30" s="218"/>
      <c r="R30" s="218"/>
      <c r="S30" s="227"/>
    </row>
    <row r="31" spans="2:19" ht="15.75">
      <c r="B31" s="218"/>
      <c r="C31" t="s">
        <v>301</v>
      </c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/>
      <c r="O31" s="218"/>
      <c r="P31" s="218"/>
      <c r="Q31" s="218"/>
      <c r="R31" s="218"/>
      <c r="S31" s="227"/>
    </row>
    <row r="32" spans="2:19" ht="15.75">
      <c r="B32" s="218"/>
      <c r="C32" t="s">
        <v>305</v>
      </c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/>
      <c r="O32" s="218"/>
      <c r="P32" s="218"/>
      <c r="Q32" s="218"/>
      <c r="R32" s="218"/>
      <c r="S32" s="227"/>
    </row>
    <row r="33" spans="2:19" ht="15.75">
      <c r="B33" s="218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27"/>
    </row>
  </sheetData>
  <mergeCells count="25">
    <mergeCell ref="C3:O7"/>
    <mergeCell ref="C11:I12"/>
    <mergeCell ref="C24:I25"/>
    <mergeCell ref="O21:O22"/>
    <mergeCell ref="O19:O20"/>
    <mergeCell ref="O17:O18"/>
    <mergeCell ref="N11:R12"/>
    <mergeCell ref="P17:R18"/>
    <mergeCell ref="P21:R22"/>
    <mergeCell ref="C26:I27"/>
    <mergeCell ref="J26:J27"/>
    <mergeCell ref="P13:R14"/>
    <mergeCell ref="P15:R16"/>
    <mergeCell ref="N13:N14"/>
    <mergeCell ref="N15:N16"/>
    <mergeCell ref="N17:N18"/>
    <mergeCell ref="N19:N20"/>
    <mergeCell ref="N21:N22"/>
    <mergeCell ref="C14:I15"/>
    <mergeCell ref="C16:I17"/>
    <mergeCell ref="C18:I19"/>
    <mergeCell ref="C20:I21"/>
    <mergeCell ref="C22:I23"/>
    <mergeCell ref="O15:O16"/>
    <mergeCell ref="O13:O14"/>
  </mergeCells>
  <hyperlinks>
    <hyperlink ref="C14:I15" location="Dashboard!A1" display="Dashboard" xr:uid="{4C84AD9C-54DE-4979-A2DC-ADAF3322820A}"/>
    <hyperlink ref="C16:I17" location="Assumptions!A1" display="Assumption" xr:uid="{4C290F9E-7FCC-4025-AA9F-F1BF770BB883}"/>
    <hyperlink ref="C18:I19" location="Core_Model!A1" display="Core_Model" xr:uid="{DBAF347E-DC62-4DE3-9315-F300507A6502}"/>
    <hyperlink ref="C20:I21" location="Schedules!A1" display="Schedules" xr:uid="{B81D0C9C-22FA-40DD-A077-CBBCDFEFF558}"/>
    <hyperlink ref="C22:I23" location="Valuation_DCF!A1" display="Valuation_DCF" xr:uid="{9A1F8941-8094-4FE5-AD0A-9C15017F46DC}"/>
    <hyperlink ref="C24:I25" location="Sensitivity_Analysis!A1" display="Sensitivity_Analysis" xr:uid="{2A70086F-14B6-4479-A857-EA316AADD92E}"/>
    <hyperlink ref="C26:I27" location="Note_and_Sources!A1" display="Notes_and_Sources" xr:uid="{F7E411AE-6BD2-4635-8A7A-3B3BA701C5CA}"/>
  </hyperlinks>
  <pageMargins left="0.40157480314960631" right="0.47244094488188981" top="0.40157480314960631" bottom="0.40157480314960631" header="0" footer="0"/>
  <pageSetup paperSize="9" scale="86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6F72-1EAF-48BC-909D-5DB8908FA83C}">
  <sheetPr>
    <pageSetUpPr fitToPage="1"/>
  </sheetPr>
  <dimension ref="A2:X28"/>
  <sheetViews>
    <sheetView showGridLines="0" zoomScaleNormal="100" zoomScaleSheetLayoutView="85" zoomScalePageLayoutView="55" workbookViewId="0"/>
  </sheetViews>
  <sheetFormatPr defaultRowHeight="15"/>
  <cols>
    <col min="1" max="1" width="5" customWidth="1"/>
    <col min="17" max="17" width="7.7109375" customWidth="1"/>
    <col min="19" max="19" width="27" bestFit="1" customWidth="1"/>
    <col min="20" max="24" width="10" customWidth="1"/>
  </cols>
  <sheetData>
    <row r="2" spans="1:24" ht="23.25">
      <c r="A2" t="s">
        <v>76</v>
      </c>
      <c r="B2" s="245" t="s">
        <v>271</v>
      </c>
      <c r="C2" s="243"/>
      <c r="D2" s="243"/>
      <c r="E2" s="243"/>
      <c r="F2" s="243"/>
      <c r="G2" s="243"/>
      <c r="H2" s="243"/>
      <c r="I2" s="216"/>
      <c r="J2" s="245" t="s">
        <v>269</v>
      </c>
      <c r="K2" s="244"/>
      <c r="L2" s="244"/>
      <c r="M2" s="244"/>
      <c r="N2" s="244"/>
      <c r="O2" s="244"/>
      <c r="P2" s="244"/>
      <c r="Q2" s="244"/>
      <c r="S2" s="3" t="s">
        <v>98</v>
      </c>
      <c r="T2" s="74"/>
    </row>
    <row r="3" spans="1:24">
      <c r="T3" s="18"/>
      <c r="U3" s="60"/>
    </row>
    <row r="4" spans="1:24" ht="26.25">
      <c r="O4" t="s">
        <v>76</v>
      </c>
      <c r="S4" s="215" t="str">
        <f>Assumptions!B2</f>
        <v>Particulars</v>
      </c>
      <c r="T4" s="251">
        <f>Assumptions!H2</f>
        <v>2026</v>
      </c>
      <c r="U4" s="251">
        <f>Assumptions!I2</f>
        <v>2027</v>
      </c>
      <c r="V4" s="251">
        <f>Assumptions!J2</f>
        <v>2028</v>
      </c>
      <c r="W4" s="251">
        <f>Assumptions!K2</f>
        <v>2029</v>
      </c>
      <c r="X4" s="251">
        <f>Assumptions!L2</f>
        <v>2030</v>
      </c>
    </row>
    <row r="6" spans="1:24" ht="15.75">
      <c r="S6" s="2" t="s">
        <v>3</v>
      </c>
      <c r="T6" s="246">
        <f>Core_Model!H5</f>
        <v>66277.05</v>
      </c>
      <c r="U6" s="246">
        <f>Core_Model!I5</f>
        <v>71711.768100000001</v>
      </c>
      <c r="V6" s="246">
        <f>Core_Model!J5</f>
        <v>77448.709548000013</v>
      </c>
      <c r="W6" s="246">
        <f>Core_Model!K5</f>
        <v>82870.119216360021</v>
      </c>
      <c r="X6" s="246">
        <f>Core_Model!L5</f>
        <v>87842.326369341623</v>
      </c>
    </row>
    <row r="7" spans="1:24" ht="15.75">
      <c r="S7" s="2" t="s">
        <v>7</v>
      </c>
      <c r="T7" s="56">
        <v>15813.163999999995</v>
      </c>
      <c r="U7" s="56">
        <v>18448.118357999992</v>
      </c>
      <c r="V7" s="56">
        <v>21433.295137407989</v>
      </c>
      <c r="W7" s="56">
        <v>24337.747112001918</v>
      </c>
      <c r="X7" s="56">
        <v>27241.41839289376</v>
      </c>
    </row>
    <row r="8" spans="1:24" ht="15.75">
      <c r="S8" s="2" t="s">
        <v>14</v>
      </c>
      <c r="T8" s="30">
        <v>10803.821197556039</v>
      </c>
      <c r="U8" s="30">
        <v>12808.608247214037</v>
      </c>
      <c r="V8" s="30">
        <v>15053.859935740304</v>
      </c>
      <c r="W8" s="30">
        <v>17211.092824054205</v>
      </c>
      <c r="X8" s="30">
        <v>19342.581102498592</v>
      </c>
    </row>
    <row r="10" spans="1:24" ht="15.75">
      <c r="S10" s="213" t="s">
        <v>270</v>
      </c>
      <c r="T10" s="248">
        <f>T7/T6</f>
        <v>0.23859185042182768</v>
      </c>
      <c r="U10" s="248">
        <f>U7/U6</f>
        <v>0.25725370949262638</v>
      </c>
      <c r="V10" s="248">
        <f>V7/V6</f>
        <v>0.27674179805571042</v>
      </c>
      <c r="W10" s="248">
        <f>W7/W6</f>
        <v>0.2936854362241248</v>
      </c>
      <c r="X10" s="248">
        <f>X7/X6</f>
        <v>0.31011722388082669</v>
      </c>
    </row>
    <row r="11" spans="1:24" ht="15.75">
      <c r="S11" s="2" t="s">
        <v>273</v>
      </c>
      <c r="T11" s="247">
        <f>Core_Model!H14/(Core_Model!H60+Core_Model!H61+Core_Model!H55)</f>
        <v>0.28105556803205373</v>
      </c>
      <c r="U11" s="247">
        <f>Core_Model!I14/(Core_Model!I60+Core_Model!I61+Core_Model!I55)</f>
        <v>0.30150207720266275</v>
      </c>
      <c r="V11" s="247">
        <f>Core_Model!J14/(Core_Model!J60+Core_Model!J61+Core_Model!J55)</f>
        <v>0.32682754497859584</v>
      </c>
      <c r="W11" s="247">
        <f>Core_Model!K14/(Core_Model!K60+Core_Model!K61+Core_Model!K55)</f>
        <v>0.34997595736899273</v>
      </c>
      <c r="X11" s="247">
        <f>Core_Model!L14/(Core_Model!L60+Core_Model!L61+Core_Model!L55)</f>
        <v>0.36865410614614941</v>
      </c>
    </row>
    <row r="12" spans="1:24" ht="15.75">
      <c r="S12" s="2" t="s">
        <v>274</v>
      </c>
      <c r="T12" s="247">
        <f>Core_Model!H25/(Core_Model!H60+Core_Model!H61)</f>
        <v>0.21462843766590151</v>
      </c>
      <c r="U12" s="247">
        <f>Core_Model!I25/(Core_Model!I60+Core_Model!I61)</f>
        <v>0.23201196712056926</v>
      </c>
      <c r="V12" s="247">
        <f>Core_Model!J25/(Core_Model!J60+Core_Model!J61)</f>
        <v>0.25280452920722002</v>
      </c>
      <c r="W12" s="247">
        <f>Core_Model!K25/(Core_Model!K60+Core_Model!K61)</f>
        <v>0.27156201812922903</v>
      </c>
      <c r="X12" s="247">
        <f>Core_Model!L25/(Core_Model!L60+Core_Model!L61)</f>
        <v>0.28662038276277707</v>
      </c>
    </row>
    <row r="13" spans="1:24">
      <c r="S13" s="476"/>
      <c r="T13" s="476"/>
      <c r="U13" s="476"/>
      <c r="V13" s="476"/>
      <c r="W13" s="476"/>
      <c r="X13" s="476"/>
    </row>
    <row r="15" spans="1:24" ht="15.75">
      <c r="S15" s="211" t="s">
        <v>269</v>
      </c>
      <c r="T15" s="212"/>
      <c r="U15" s="212"/>
      <c r="V15" s="212"/>
      <c r="W15" s="212"/>
      <c r="X15" s="212"/>
    </row>
    <row r="16" spans="1:24" ht="15.75">
      <c r="S16" s="5" t="s">
        <v>4</v>
      </c>
      <c r="T16" s="56">
        <f>Core_Model!H6*-1</f>
        <v>32045.744000000002</v>
      </c>
      <c r="U16" s="56">
        <f>Core_Model!I6*-1</f>
        <v>34769.632239999999</v>
      </c>
      <c r="V16" s="56">
        <f>Core_Model!J6*-1</f>
        <v>37412.124290240004</v>
      </c>
      <c r="W16" s="56">
        <f>Core_Model!K6*-1</f>
        <v>39843.912369105601</v>
      </c>
      <c r="X16" s="56">
        <f>Core_Model!L6*-1</f>
        <v>42035.327549406407</v>
      </c>
    </row>
    <row r="17" spans="1:24" ht="15.75">
      <c r="S17" s="5" t="s">
        <v>6</v>
      </c>
      <c r="T17" s="288">
        <f>Core_Model!H9*-1</f>
        <v>3218.5419999999999</v>
      </c>
      <c r="U17" s="288">
        <f>Core_Model!I9*-1</f>
        <v>3366.594932</v>
      </c>
      <c r="V17" s="288">
        <f>Core_Model!J9*-1</f>
        <v>3521.4582988719999</v>
      </c>
      <c r="W17" s="288">
        <f>Core_Model!K9*-1</f>
        <v>3683.4453806201122</v>
      </c>
      <c r="X17" s="288">
        <f>Core_Model!L9*-1</f>
        <v>3852.8838681286375</v>
      </c>
    </row>
    <row r="18" spans="1:24" ht="15.75">
      <c r="S18" s="81" t="s">
        <v>106</v>
      </c>
      <c r="T18" s="288">
        <f>Core_Model!H10*-1</f>
        <v>15199.6</v>
      </c>
      <c r="U18" s="288">
        <f>Core_Model!I10*-1</f>
        <v>16339.57</v>
      </c>
      <c r="V18" s="288">
        <f>Core_Model!J10*-1</f>
        <v>17516.019039999999</v>
      </c>
      <c r="W18" s="288">
        <f>Core_Model!K10*-1</f>
        <v>18602.012220479999</v>
      </c>
      <c r="X18" s="288">
        <f>Core_Model!L10*-1</f>
        <v>19625.1228926064</v>
      </c>
    </row>
    <row r="19" spans="1:24" ht="23.25">
      <c r="A19" t="s">
        <v>76</v>
      </c>
      <c r="B19" s="245" t="s">
        <v>275</v>
      </c>
      <c r="C19" s="243"/>
      <c r="D19" s="243"/>
      <c r="E19" s="243"/>
      <c r="F19" s="243"/>
      <c r="G19" s="243"/>
      <c r="H19" s="243"/>
      <c r="J19" s="245" t="s">
        <v>311</v>
      </c>
      <c r="K19" s="243"/>
      <c r="L19" s="243"/>
      <c r="M19" s="243"/>
      <c r="N19" s="243"/>
      <c r="O19" s="243"/>
      <c r="P19" s="243"/>
      <c r="Q19" s="245"/>
      <c r="S19" s="5" t="s">
        <v>8</v>
      </c>
      <c r="T19" s="289">
        <f>Core_Model!H13*-1</f>
        <v>1354.0031397174255</v>
      </c>
      <c r="U19" s="289">
        <f>Core_Model!I13*-1</f>
        <v>1456.1106397174256</v>
      </c>
      <c r="V19" s="289">
        <f>Core_Model!J13*-1</f>
        <v>1566.5909547174256</v>
      </c>
      <c r="W19" s="289">
        <f>Core_Model!K13*-1</f>
        <v>1685.9096949174254</v>
      </c>
      <c r="X19" s="289">
        <f>Core_Model!L13*-1</f>
        <v>1813.5807469314254</v>
      </c>
    </row>
    <row r="20" spans="1:24" ht="15.75">
      <c r="S20" s="5" t="s">
        <v>220</v>
      </c>
      <c r="T20" s="56">
        <f>Core_Model!H16</f>
        <v>994.15575000000001</v>
      </c>
      <c r="U20" s="56">
        <f>Core_Model!I16</f>
        <v>1075.6765215</v>
      </c>
      <c r="V20" s="56">
        <f>Core_Model!J16</f>
        <v>1161.73064322</v>
      </c>
      <c r="W20" s="56">
        <f>Core_Model!K16</f>
        <v>1243.0517882454003</v>
      </c>
      <c r="X20" s="56">
        <f>Core_Model!L16</f>
        <v>1317.6348955401243</v>
      </c>
    </row>
    <row r="21" spans="1:24" ht="15.75">
      <c r="S21" s="5" t="s">
        <v>272</v>
      </c>
      <c r="T21" s="477">
        <f>SUM(T16:T20)</f>
        <v>52812.044889717421</v>
      </c>
      <c r="U21" s="477">
        <f t="shared" ref="U21:X21" si="0">SUM(U16:U20)</f>
        <v>57007.584333217419</v>
      </c>
      <c r="V21" s="477">
        <f t="shared" si="0"/>
        <v>61177.923227049425</v>
      </c>
      <c r="W21" s="477">
        <f t="shared" si="0"/>
        <v>65058.331453368541</v>
      </c>
      <c r="X21" s="477">
        <f t="shared" si="0"/>
        <v>68644.549952612986</v>
      </c>
    </row>
    <row r="22" spans="1:24">
      <c r="S22" s="478"/>
      <c r="T22" s="478"/>
      <c r="U22" s="478"/>
      <c r="V22" s="478"/>
      <c r="W22" s="478"/>
      <c r="X22" s="478"/>
    </row>
    <row r="24" spans="1:24" ht="15.75">
      <c r="S24" s="12" t="s">
        <v>280</v>
      </c>
    </row>
    <row r="25" spans="1:24" ht="15.75">
      <c r="S25" s="142" t="s">
        <v>276</v>
      </c>
      <c r="T25" s="56">
        <f>Core_Model!H81</f>
        <v>10024.670783148626</v>
      </c>
      <c r="U25" s="56">
        <f>Core_Model!I81</f>
        <v>14136.031780252746</v>
      </c>
      <c r="V25" s="56">
        <f>Core_Model!J81</f>
        <v>15674.518697333477</v>
      </c>
      <c r="W25" s="56">
        <f>Core_Model!K81</f>
        <v>16909.560577205499</v>
      </c>
      <c r="X25" s="56">
        <f>Core_Model!L81</f>
        <v>18131.782607093439</v>
      </c>
    </row>
    <row r="26" spans="1:24" ht="15.75">
      <c r="S26" s="142" t="s">
        <v>277</v>
      </c>
      <c r="T26" s="56">
        <f>Core_Model!H87</f>
        <v>-1458.0951</v>
      </c>
      <c r="U26" s="56">
        <f>Core_Model!I87</f>
        <v>-1577.6588981999998</v>
      </c>
      <c r="V26" s="56">
        <f>Core_Model!J87</f>
        <v>-1703.8716100560002</v>
      </c>
      <c r="W26" s="56">
        <f>Core_Model!K87</f>
        <v>-1823.1426227599204</v>
      </c>
      <c r="X26" s="56">
        <f>Core_Model!L87</f>
        <v>-1932.5311801255157</v>
      </c>
    </row>
    <row r="27" spans="1:24" ht="15.75">
      <c r="S27" s="142" t="s">
        <v>278</v>
      </c>
      <c r="T27" s="56">
        <f>Core_Model!H96</f>
        <v>-9987.3973784275549</v>
      </c>
      <c r="U27" s="56">
        <f>Core_Model!I96</f>
        <v>-10991.080467874377</v>
      </c>
      <c r="V27" s="56">
        <f>Core_Model!J96</f>
        <v>-12213.72141015385</v>
      </c>
      <c r="W27" s="56">
        <f>Core_Model!K96</f>
        <v>-13403.00607305676</v>
      </c>
      <c r="X27" s="56">
        <f>Core_Model!L96</f>
        <v>-14471.255910724683</v>
      </c>
    </row>
    <row r="28" spans="1:24" ht="15.75">
      <c r="S28" s="142" t="s">
        <v>279</v>
      </c>
      <c r="T28" s="479">
        <f>Core_Model!H102</f>
        <v>4685.1783047210702</v>
      </c>
      <c r="U28" s="479">
        <f>Core_Model!I102</f>
        <v>6252.4707188994398</v>
      </c>
      <c r="V28" s="479">
        <f>Core_Model!J102</f>
        <v>8009.3963960230667</v>
      </c>
      <c r="W28" s="479">
        <f>Core_Model!K102</f>
        <v>9692.8082774118848</v>
      </c>
      <c r="X28" s="479">
        <f>Core_Model!L102</f>
        <v>11420.803793655125</v>
      </c>
    </row>
  </sheetData>
  <pageMargins left="0.40157480314960631" right="0.47244094488188981" top="0.40157480314960631" bottom="0.40157480314960631" header="0" footer="0"/>
  <pageSetup paperSize="9" scale="95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Drop Down 2">
              <controlPr defaultSize="0" autoLine="0" autoPict="0">
                <anchor moveWithCells="1">
                  <from>
                    <xdr:col>19</xdr:col>
                    <xdr:colOff>0</xdr:colOff>
                    <xdr:row>1</xdr:row>
                    <xdr:rowOff>0</xdr:rowOff>
                  </from>
                  <to>
                    <xdr:col>21</xdr:col>
                    <xdr:colOff>238125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5F9A-7D8F-A44D-9EB0-B8959627B3CE}">
  <sheetPr>
    <pageSetUpPr fitToPage="1"/>
  </sheetPr>
  <dimension ref="A2:L91"/>
  <sheetViews>
    <sheetView showGridLines="0" zoomScaleNormal="100" zoomScaleSheetLayoutView="100"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36.28515625" bestFit="1" customWidth="1"/>
    <col min="3" max="3" width="7.42578125" customWidth="1"/>
    <col min="4" max="4" width="17.7109375" bestFit="1" customWidth="1"/>
    <col min="5" max="12" width="11" customWidth="1"/>
  </cols>
  <sheetData>
    <row r="2" spans="1:12" ht="26.25">
      <c r="B2" s="24" t="s">
        <v>0</v>
      </c>
      <c r="C2" s="99" t="s">
        <v>76</v>
      </c>
      <c r="D2" s="25" t="s">
        <v>76</v>
      </c>
      <c r="E2" s="55">
        <v>2023</v>
      </c>
      <c r="F2" s="55">
        <v>2024</v>
      </c>
      <c r="G2" s="55">
        <v>2025</v>
      </c>
      <c r="H2" s="103">
        <v>2026</v>
      </c>
      <c r="I2" s="103">
        <v>2027</v>
      </c>
      <c r="J2" s="103">
        <v>2028</v>
      </c>
      <c r="K2" s="103">
        <v>2029</v>
      </c>
      <c r="L2" s="103">
        <v>2030</v>
      </c>
    </row>
    <row r="3" spans="1:12">
      <c r="B3" s="4"/>
    </row>
    <row r="4" spans="1:12" ht="21">
      <c r="A4" t="s">
        <v>76</v>
      </c>
      <c r="B4" s="252" t="s">
        <v>97</v>
      </c>
      <c r="C4" s="253"/>
      <c r="D4" s="253"/>
      <c r="E4" s="253"/>
      <c r="F4" s="253"/>
      <c r="G4" s="254"/>
      <c r="H4" s="255"/>
      <c r="I4" s="255"/>
      <c r="J4" s="255"/>
      <c r="K4" s="255"/>
      <c r="L4" s="255"/>
    </row>
    <row r="5" spans="1:12" ht="15.75">
      <c r="C5" s="18"/>
      <c r="D5" s="60"/>
      <c r="E5" s="60"/>
      <c r="G5" s="61"/>
      <c r="H5" s="61"/>
      <c r="I5" s="61"/>
      <c r="J5" s="61"/>
      <c r="K5" s="61"/>
      <c r="L5" s="61"/>
    </row>
    <row r="6" spans="1:12" ht="15.75">
      <c r="B6" s="3" t="s">
        <v>98</v>
      </c>
      <c r="C6" s="74">
        <v>2</v>
      </c>
      <c r="E6" s="19"/>
      <c r="G6" s="36"/>
    </row>
    <row r="8" spans="1:12" ht="18">
      <c r="B8" s="3" t="s">
        <v>100</v>
      </c>
      <c r="C8" s="37"/>
      <c r="D8" s="37"/>
      <c r="E8" s="62"/>
      <c r="F8" s="62"/>
      <c r="G8" s="62"/>
      <c r="H8" s="75" cm="1">
        <f t="array" ref="H8">INDEX(H9:H11,$C$6)</f>
        <v>0.05</v>
      </c>
      <c r="I8" s="76" cm="1">
        <f t="array" ref="I8">INDEX(I9:I11,$C$6)</f>
        <v>8.2000000000000003E-2</v>
      </c>
      <c r="J8" s="76" cm="1">
        <f t="array" ref="J8">INDEX(J9:J11,$C$6)</f>
        <v>0.08</v>
      </c>
      <c r="K8" s="76" cm="1">
        <f t="array" ref="K8">INDEX(K9:K11,$C$6)</f>
        <v>7.0000000000000007E-2</v>
      </c>
      <c r="L8" s="77" cm="1">
        <f t="array" ref="L8">INDEX(L9:L11,$C$6)</f>
        <v>0.06</v>
      </c>
    </row>
    <row r="9" spans="1:12" ht="18">
      <c r="B9" s="63" t="s">
        <v>291</v>
      </c>
      <c r="C9" s="37"/>
      <c r="D9" s="64"/>
      <c r="E9" s="38"/>
      <c r="F9" s="38"/>
      <c r="G9" s="38"/>
      <c r="H9" s="65">
        <v>0.05</v>
      </c>
      <c r="I9" s="66">
        <v>0.105</v>
      </c>
      <c r="J9" s="66">
        <v>0.1</v>
      </c>
      <c r="K9" s="66">
        <v>8.5000000000000006E-2</v>
      </c>
      <c r="L9" s="67">
        <v>7.4999999999999997E-2</v>
      </c>
    </row>
    <row r="10" spans="1:12" ht="18">
      <c r="B10" s="63" t="s">
        <v>99</v>
      </c>
      <c r="C10" s="37"/>
      <c r="D10" s="38"/>
      <c r="E10" s="38"/>
      <c r="F10" s="38"/>
      <c r="G10" s="38"/>
      <c r="H10" s="68">
        <v>0.05</v>
      </c>
      <c r="I10" s="69">
        <v>8.2000000000000003E-2</v>
      </c>
      <c r="J10" s="69">
        <v>0.08</v>
      </c>
      <c r="K10" s="69">
        <v>7.0000000000000007E-2</v>
      </c>
      <c r="L10" s="70">
        <v>0.06</v>
      </c>
    </row>
    <row r="11" spans="1:12" ht="18">
      <c r="B11" s="63" t="s">
        <v>292</v>
      </c>
      <c r="C11" s="37"/>
      <c r="D11" s="38"/>
      <c r="E11" s="38"/>
      <c r="F11" s="38"/>
      <c r="G11" s="38"/>
      <c r="H11" s="71">
        <v>0.05</v>
      </c>
      <c r="I11" s="72">
        <v>4.4999999999999998E-2</v>
      </c>
      <c r="J11" s="72">
        <v>0.04</v>
      </c>
      <c r="K11" s="72">
        <v>4.4999999999999998E-2</v>
      </c>
      <c r="L11" s="73">
        <v>0.05</v>
      </c>
    </row>
    <row r="13" spans="1:12" ht="18">
      <c r="B13" s="3" t="s">
        <v>101</v>
      </c>
      <c r="C13" s="37"/>
      <c r="D13" s="37"/>
      <c r="E13" s="62"/>
      <c r="F13" s="62"/>
      <c r="G13" s="62"/>
      <c r="H13" s="75" cm="1">
        <f t="array" ref="H13">INDEX(H14:H16,$C$6)</f>
        <v>4.8000000000000001E-2</v>
      </c>
      <c r="I13" s="76" cm="1">
        <f t="array" ref="I13">INDEX(I14:I16,$C$6)</f>
        <v>8.5000000000000006E-2</v>
      </c>
      <c r="J13" s="76" cm="1">
        <f t="array" ref="J13">INDEX(J14:J16,$C$6)</f>
        <v>7.5999999999999998E-2</v>
      </c>
      <c r="K13" s="76" cm="1">
        <f t="array" ref="K13">INDEX(K14:K16,$C$6)</f>
        <v>6.5000000000000002E-2</v>
      </c>
      <c r="L13" s="77" cm="1">
        <f t="array" ref="L13">INDEX(L14:L16,$C$6)</f>
        <v>5.5E-2</v>
      </c>
    </row>
    <row r="14" spans="1:12" ht="18">
      <c r="B14" s="63" t="str">
        <f>B9</f>
        <v>Bull Case</v>
      </c>
      <c r="C14" s="37"/>
      <c r="D14" s="64"/>
      <c r="E14" s="38"/>
      <c r="F14" s="38"/>
      <c r="G14" s="38"/>
      <c r="H14" s="65">
        <v>4.8000000000000001E-2</v>
      </c>
      <c r="I14" s="66">
        <v>0.09</v>
      </c>
      <c r="J14" s="66">
        <v>8.2000000000000003E-2</v>
      </c>
      <c r="K14" s="66">
        <v>6.8000000000000005E-2</v>
      </c>
      <c r="L14" s="67">
        <v>5.8000000000000003E-2</v>
      </c>
    </row>
    <row r="15" spans="1:12" ht="18">
      <c r="B15" s="63" t="str">
        <f>B10</f>
        <v>Base Case</v>
      </c>
      <c r="C15" s="37"/>
      <c r="D15" s="38"/>
      <c r="E15" s="38"/>
      <c r="F15" s="38"/>
      <c r="H15" s="68">
        <v>4.8000000000000001E-2</v>
      </c>
      <c r="I15" s="69">
        <v>8.5000000000000006E-2</v>
      </c>
      <c r="J15" s="69">
        <v>7.5999999999999998E-2</v>
      </c>
      <c r="K15" s="69">
        <v>6.5000000000000002E-2</v>
      </c>
      <c r="L15" s="70">
        <v>5.5E-2</v>
      </c>
    </row>
    <row r="16" spans="1:12" ht="18">
      <c r="B16" s="63" t="str">
        <f>B11</f>
        <v>Bear Case</v>
      </c>
      <c r="C16" s="37"/>
      <c r="D16" s="38"/>
      <c r="E16" s="38"/>
      <c r="F16" s="38"/>
      <c r="H16" s="71">
        <v>4.8000000000000001E-2</v>
      </c>
      <c r="I16" s="72">
        <v>0.06</v>
      </c>
      <c r="J16" s="72">
        <v>5.1999999999999998E-2</v>
      </c>
      <c r="K16" s="72">
        <v>0.05</v>
      </c>
      <c r="L16" s="73">
        <v>5.1999999999999998E-2</v>
      </c>
    </row>
    <row r="18" spans="2:12" ht="18">
      <c r="B18" s="82" t="s">
        <v>106</v>
      </c>
      <c r="C18" s="37"/>
      <c r="D18" s="37"/>
      <c r="E18" s="62"/>
      <c r="F18" s="62"/>
      <c r="H18" s="75" cm="1">
        <f t="array" ref="H18">INDEX(H19:H21,$C$6)</f>
        <v>0.04</v>
      </c>
      <c r="I18" s="76" cm="1">
        <f t="array" ref="I18">INDEX(I19:I21,$C$6)</f>
        <v>7.4999999999999997E-2</v>
      </c>
      <c r="J18" s="76" cm="1">
        <f t="array" ref="J18">INDEX(J19:J21,$C$6)</f>
        <v>7.1999999999999995E-2</v>
      </c>
      <c r="K18" s="76" cm="1">
        <f t="array" ref="K18">INDEX(K19:K21,$C$6)</f>
        <v>6.2E-2</v>
      </c>
      <c r="L18" s="77" cm="1">
        <f t="array" ref="L18">INDEX(L19:L21,$C$6)</f>
        <v>5.5E-2</v>
      </c>
    </row>
    <row r="19" spans="2:12" ht="18">
      <c r="B19" s="63" t="str">
        <f>B14</f>
        <v>Bull Case</v>
      </c>
      <c r="C19" s="37"/>
      <c r="D19" s="64"/>
      <c r="E19" s="38"/>
      <c r="F19" s="38"/>
      <c r="H19" s="65">
        <v>0.04</v>
      </c>
      <c r="I19" s="66">
        <v>8.5000000000000006E-2</v>
      </c>
      <c r="J19" s="66">
        <v>0.08</v>
      </c>
      <c r="K19" s="66">
        <v>6.8000000000000005E-2</v>
      </c>
      <c r="L19" s="67">
        <v>0.06</v>
      </c>
    </row>
    <row r="20" spans="2:12" ht="18">
      <c r="B20" s="63" t="str">
        <f>B15</f>
        <v>Base Case</v>
      </c>
      <c r="C20" s="37"/>
      <c r="D20" s="38"/>
      <c r="E20" s="38"/>
      <c r="F20" s="38"/>
      <c r="H20" s="68">
        <v>0.04</v>
      </c>
      <c r="I20" s="69">
        <v>7.4999999999999997E-2</v>
      </c>
      <c r="J20" s="69">
        <v>7.1999999999999995E-2</v>
      </c>
      <c r="K20" s="69">
        <v>6.2E-2</v>
      </c>
      <c r="L20" s="70">
        <v>5.5E-2</v>
      </c>
    </row>
    <row r="21" spans="2:12" ht="18">
      <c r="B21" s="63" t="str">
        <f>B16</f>
        <v>Bear Case</v>
      </c>
      <c r="C21" s="37"/>
      <c r="D21" s="38"/>
      <c r="E21" s="38"/>
      <c r="F21" s="38"/>
      <c r="H21" s="71">
        <v>0.04</v>
      </c>
      <c r="I21" s="72">
        <v>0.06</v>
      </c>
      <c r="J21" s="72">
        <v>5.5E-2</v>
      </c>
      <c r="K21" s="72">
        <v>5.5E-2</v>
      </c>
      <c r="L21" s="73">
        <v>5.8000000000000003E-2</v>
      </c>
    </row>
    <row r="23" spans="2:12" ht="18">
      <c r="B23" s="3" t="s">
        <v>104</v>
      </c>
      <c r="C23" s="37"/>
      <c r="D23" s="37"/>
      <c r="E23" s="62"/>
      <c r="F23" s="62"/>
      <c r="H23" s="259" cm="1">
        <f t="array" ref="H23">INDEX(H24:H26,$C$6)</f>
        <v>21</v>
      </c>
      <c r="I23" s="260" cm="1">
        <f t="array" ref="I23">INDEX(I24:I26,$C$6)</f>
        <v>21</v>
      </c>
      <c r="J23" s="260" cm="1">
        <f t="array" ref="J23">INDEX(J24:J26,$C$6)</f>
        <v>21</v>
      </c>
      <c r="K23" s="260" cm="1">
        <f t="array" ref="K23">INDEX(K24:K26,$C$6)</f>
        <v>21</v>
      </c>
      <c r="L23" s="261" cm="1">
        <f t="array" ref="L23">INDEX(L24:L26,$C$6)</f>
        <v>21</v>
      </c>
    </row>
    <row r="24" spans="2:12" ht="18">
      <c r="B24" s="63" t="str">
        <f>B19</f>
        <v>Bull Case</v>
      </c>
      <c r="C24" s="37"/>
      <c r="D24" s="64"/>
      <c r="E24" s="38"/>
      <c r="F24" s="38"/>
      <c r="H24" s="262">
        <v>21</v>
      </c>
      <c r="I24" s="263">
        <v>19.5</v>
      </c>
      <c r="J24" s="263">
        <v>18.5</v>
      </c>
      <c r="K24" s="263">
        <v>17.5</v>
      </c>
      <c r="L24" s="264">
        <v>17</v>
      </c>
    </row>
    <row r="25" spans="2:12" ht="18">
      <c r="B25" s="63" t="str">
        <f>B20</f>
        <v>Base Case</v>
      </c>
      <c r="C25" s="37"/>
      <c r="D25" s="38"/>
      <c r="E25" s="38"/>
      <c r="F25" s="38"/>
      <c r="H25" s="265">
        <v>21</v>
      </c>
      <c r="I25" s="266">
        <v>21</v>
      </c>
      <c r="J25" s="266">
        <v>21</v>
      </c>
      <c r="K25" s="266">
        <v>21</v>
      </c>
      <c r="L25" s="267">
        <v>21</v>
      </c>
    </row>
    <row r="26" spans="2:12" ht="18">
      <c r="B26" s="63" t="str">
        <f>B21</f>
        <v>Bear Case</v>
      </c>
      <c r="C26" s="37"/>
      <c r="D26" s="38"/>
      <c r="E26" s="38"/>
      <c r="F26" s="38"/>
      <c r="H26" s="268">
        <v>21</v>
      </c>
      <c r="I26" s="269">
        <v>23</v>
      </c>
      <c r="J26" s="269">
        <v>24.5</v>
      </c>
      <c r="K26" s="269">
        <v>25</v>
      </c>
      <c r="L26" s="270">
        <v>25</v>
      </c>
    </row>
    <row r="28" spans="2:12" ht="18">
      <c r="B28" s="3" t="s">
        <v>102</v>
      </c>
      <c r="C28" s="37"/>
      <c r="D28" s="37"/>
      <c r="E28" s="62"/>
      <c r="F28" s="62"/>
      <c r="H28" s="259" cm="1">
        <f t="array" ref="H28">INDEX(H29:H31,$C$6)</f>
        <v>51.5</v>
      </c>
      <c r="I28" s="260" cm="1">
        <f t="array" ref="I28">INDEX(I29:I31,$C$6)</f>
        <v>51.5</v>
      </c>
      <c r="J28" s="260" cm="1">
        <f t="array" ref="J28">INDEX(J29:J31,$C$6)</f>
        <v>51</v>
      </c>
      <c r="K28" s="260" cm="1">
        <f t="array" ref="K28">INDEX(K29:K31,$C$6)</f>
        <v>51</v>
      </c>
      <c r="L28" s="261" cm="1">
        <f t="array" ref="L28">INDEX(L29:L31,$C$6)</f>
        <v>51</v>
      </c>
    </row>
    <row r="29" spans="2:12" ht="18">
      <c r="B29" s="63" t="str">
        <f>B24</f>
        <v>Bull Case</v>
      </c>
      <c r="C29" s="37"/>
      <c r="D29" s="64"/>
      <c r="E29" s="38"/>
      <c r="F29" s="38"/>
      <c r="H29" s="262">
        <v>51.5</v>
      </c>
      <c r="I29" s="263">
        <v>49</v>
      </c>
      <c r="J29" s="263">
        <v>48</v>
      </c>
      <c r="K29" s="263">
        <v>47</v>
      </c>
      <c r="L29" s="264">
        <v>46.5</v>
      </c>
    </row>
    <row r="30" spans="2:12" ht="18">
      <c r="B30" s="63" t="str">
        <f>B25</f>
        <v>Base Case</v>
      </c>
      <c r="C30" s="37"/>
      <c r="D30" s="38"/>
      <c r="E30" s="38"/>
      <c r="F30" s="38"/>
      <c r="H30" s="265">
        <v>51.5</v>
      </c>
      <c r="I30" s="266">
        <v>51.5</v>
      </c>
      <c r="J30" s="266">
        <v>51</v>
      </c>
      <c r="K30" s="266">
        <v>51</v>
      </c>
      <c r="L30" s="267">
        <v>51</v>
      </c>
    </row>
    <row r="31" spans="2:12" ht="18">
      <c r="B31" s="63" t="str">
        <f>B26</f>
        <v>Bear Case</v>
      </c>
      <c r="C31" s="37"/>
      <c r="D31" s="38"/>
      <c r="E31" s="38"/>
      <c r="F31" s="38"/>
      <c r="H31" s="268">
        <v>51.5</v>
      </c>
      <c r="I31" s="269">
        <v>54</v>
      </c>
      <c r="J31" s="269">
        <v>55.5</v>
      </c>
      <c r="K31" s="269">
        <v>56</v>
      </c>
      <c r="L31" s="270">
        <v>56.5</v>
      </c>
    </row>
    <row r="33" spans="1:12" ht="18">
      <c r="B33" s="3" t="s">
        <v>103</v>
      </c>
      <c r="C33" s="37"/>
      <c r="D33" s="37"/>
      <c r="E33" s="62"/>
      <c r="F33" s="62"/>
      <c r="H33" s="259" cm="1">
        <f t="array" ref="H33">INDEX(H34:H36,$C$6)</f>
        <v>133</v>
      </c>
      <c r="I33" s="260" cm="1">
        <f t="array" ref="I33">INDEX(I34:I36,$C$6)</f>
        <v>133</v>
      </c>
      <c r="J33" s="260" cm="1">
        <f t="array" ref="J33">INDEX(J34:J36,$C$6)</f>
        <v>134</v>
      </c>
      <c r="K33" s="260" cm="1">
        <f t="array" ref="K33">INDEX(K34:K36,$C$6)</f>
        <v>134</v>
      </c>
      <c r="L33" s="261" cm="1">
        <f t="array" ref="L33">INDEX(L34:L36,$C$6)</f>
        <v>134</v>
      </c>
    </row>
    <row r="34" spans="1:12" ht="18">
      <c r="B34" s="63" t="str">
        <f>B29</f>
        <v>Bull Case</v>
      </c>
      <c r="C34" s="37"/>
      <c r="D34" s="64"/>
      <c r="E34" s="38"/>
      <c r="F34" s="38"/>
      <c r="H34" s="262">
        <v>133</v>
      </c>
      <c r="I34" s="263">
        <v>135</v>
      </c>
      <c r="J34" s="263">
        <v>136.5</v>
      </c>
      <c r="K34" s="263">
        <v>138</v>
      </c>
      <c r="L34" s="264">
        <v>138.5</v>
      </c>
    </row>
    <row r="35" spans="1:12" ht="18">
      <c r="B35" s="63" t="str">
        <f>B30</f>
        <v>Base Case</v>
      </c>
      <c r="C35" s="37"/>
      <c r="D35" s="38"/>
      <c r="E35" s="38"/>
      <c r="F35" s="38"/>
      <c r="H35" s="265">
        <v>133</v>
      </c>
      <c r="I35" s="266">
        <v>133</v>
      </c>
      <c r="J35" s="266">
        <v>134</v>
      </c>
      <c r="K35" s="266">
        <v>134</v>
      </c>
      <c r="L35" s="267">
        <v>134</v>
      </c>
    </row>
    <row r="36" spans="1:12" ht="18">
      <c r="B36" s="63" t="str">
        <f>B31</f>
        <v>Bear Case</v>
      </c>
      <c r="C36" s="37"/>
      <c r="D36" s="38"/>
      <c r="E36" s="38"/>
      <c r="F36" s="38"/>
      <c r="H36" s="268">
        <v>133</v>
      </c>
      <c r="I36" s="269">
        <v>125</v>
      </c>
      <c r="J36" s="269">
        <v>120</v>
      </c>
      <c r="K36" s="269">
        <v>118</v>
      </c>
      <c r="L36" s="270">
        <v>115</v>
      </c>
    </row>
    <row r="38" spans="1:12" ht="18">
      <c r="B38" s="3" t="s">
        <v>128</v>
      </c>
      <c r="C38" s="37"/>
      <c r="D38" s="37"/>
      <c r="E38" s="62"/>
      <c r="F38" s="62"/>
      <c r="H38" s="259" cm="1">
        <f t="array" ref="H38">INDEX(H39:H41,$C$6)</f>
        <v>1458.0951</v>
      </c>
      <c r="I38" s="260" cm="1">
        <f t="array" ref="I38">INDEX(I39:I41,$C$6)</f>
        <v>1577.6588981999998</v>
      </c>
      <c r="J38" s="260" cm="1">
        <f t="array" ref="J38">INDEX(J39:J41,$C$6)</f>
        <v>1703.8716100560002</v>
      </c>
      <c r="K38" s="260" cm="1">
        <f t="array" ref="K38">INDEX(K39:K41,$C$6)</f>
        <v>1823.1426227599204</v>
      </c>
      <c r="L38" s="261" cm="1">
        <f t="array" ref="L38">INDEX(L39:L41,$C$6)</f>
        <v>1932.5311801255157</v>
      </c>
    </row>
    <row r="39" spans="1:12" ht="18">
      <c r="B39" s="63" t="str">
        <f>B34</f>
        <v>Bull Case</v>
      </c>
      <c r="C39" s="37"/>
      <c r="D39" s="64"/>
      <c r="E39" s="38"/>
      <c r="F39" s="38"/>
      <c r="H39" s="271">
        <f>Core_Model!H5*0.028</f>
        <v>1855.7574000000002</v>
      </c>
      <c r="I39" s="272">
        <f>Core_Model!I5*0.028</f>
        <v>2007.9295068000001</v>
      </c>
      <c r="J39" s="272">
        <f>Core_Model!J5*0.028</f>
        <v>2168.5638673440003</v>
      </c>
      <c r="K39" s="272">
        <f>Core_Model!K5*0.028</f>
        <v>2320.3633380580804</v>
      </c>
      <c r="L39" s="273">
        <f>Core_Model!L5*0.028</f>
        <v>2459.5851383415657</v>
      </c>
    </row>
    <row r="40" spans="1:12" ht="18">
      <c r="B40" s="63" t="str">
        <f>B35</f>
        <v>Base Case</v>
      </c>
      <c r="C40" s="37"/>
      <c r="D40" s="38"/>
      <c r="E40" s="38"/>
      <c r="F40" s="38"/>
      <c r="H40" s="271">
        <f>Core_Model!H5*0.022</f>
        <v>1458.0951</v>
      </c>
      <c r="I40" s="277">
        <f>Core_Model!I5*0.022</f>
        <v>1577.6588981999998</v>
      </c>
      <c r="J40" s="277">
        <f>Core_Model!J5*0.022</f>
        <v>1703.8716100560002</v>
      </c>
      <c r="K40" s="277">
        <f>Core_Model!K5*0.022</f>
        <v>1823.1426227599204</v>
      </c>
      <c r="L40" s="273">
        <f>Core_Model!L5*0.022</f>
        <v>1932.5311801255157</v>
      </c>
    </row>
    <row r="41" spans="1:12" ht="18">
      <c r="B41" s="63" t="str">
        <f>B36</f>
        <v>Bear Case</v>
      </c>
      <c r="C41" s="37"/>
      <c r="D41" s="38"/>
      <c r="E41" s="38"/>
      <c r="F41" s="38"/>
      <c r="H41" s="274">
        <f>Core_Model!H5*0.018</f>
        <v>1192.9868999999999</v>
      </c>
      <c r="I41" s="275">
        <f>Core_Model!I5*0.018</f>
        <v>1290.8118258</v>
      </c>
      <c r="J41" s="275">
        <f>Core_Model!J5*0.018</f>
        <v>1394.0767718640002</v>
      </c>
      <c r="K41" s="275">
        <f>Core_Model!K5*0.018</f>
        <v>1491.6621458944803</v>
      </c>
      <c r="L41" s="276">
        <f>Core_Model!L5*0.018</f>
        <v>1581.161874648149</v>
      </c>
    </row>
    <row r="43" spans="1:12" ht="18">
      <c r="B43" s="3" t="s">
        <v>105</v>
      </c>
      <c r="C43" s="37"/>
      <c r="D43" s="37"/>
      <c r="E43" s="62"/>
      <c r="F43" s="62"/>
      <c r="H43" s="256" cm="1">
        <f t="array" ref="H43">INDEX(H44:H46,$C$6)</f>
        <v>0.11</v>
      </c>
    </row>
    <row r="44" spans="1:12" ht="18">
      <c r="B44" s="63" t="str">
        <f>B39</f>
        <v>Bull Case</v>
      </c>
      <c r="C44" s="37"/>
      <c r="D44" s="64"/>
      <c r="E44" s="38"/>
      <c r="F44" s="38"/>
      <c r="H44" s="278">
        <v>0.1</v>
      </c>
    </row>
    <row r="45" spans="1:12" ht="18">
      <c r="B45" s="63" t="str">
        <f>B40</f>
        <v>Base Case</v>
      </c>
      <c r="C45" s="37"/>
      <c r="D45" s="38"/>
      <c r="E45" s="38"/>
      <c r="F45" s="38"/>
      <c r="H45" s="279">
        <v>0.11</v>
      </c>
    </row>
    <row r="46" spans="1:12" ht="18">
      <c r="B46" s="63" t="str">
        <f>B41</f>
        <v>Bear Case</v>
      </c>
      <c r="C46" s="37"/>
      <c r="D46" s="38"/>
      <c r="E46" s="38"/>
      <c r="F46" s="38"/>
      <c r="H46" s="280">
        <v>0.12</v>
      </c>
    </row>
    <row r="48" spans="1:12" ht="18.75">
      <c r="A48" t="s">
        <v>76</v>
      </c>
      <c r="B48" s="257" t="s">
        <v>88</v>
      </c>
      <c r="C48" s="258"/>
      <c r="D48" s="258"/>
      <c r="E48" s="258"/>
      <c r="F48" s="258"/>
      <c r="G48" s="258"/>
      <c r="H48" s="258"/>
      <c r="I48" s="258"/>
      <c r="J48" s="258"/>
      <c r="K48" s="258"/>
      <c r="L48" s="258"/>
    </row>
    <row r="49" spans="2:12">
      <c r="B49" s="46" t="s">
        <v>58</v>
      </c>
      <c r="C49" s="47"/>
      <c r="E49" s="291">
        <v>365</v>
      </c>
      <c r="F49" s="291">
        <v>365</v>
      </c>
      <c r="G49" s="291">
        <v>365</v>
      </c>
      <c r="H49" s="292">
        <v>365</v>
      </c>
      <c r="I49" s="292">
        <v>365</v>
      </c>
      <c r="J49" s="292">
        <v>366</v>
      </c>
      <c r="K49" s="292">
        <v>365</v>
      </c>
      <c r="L49" s="292">
        <v>365</v>
      </c>
    </row>
    <row r="50" spans="2:12" ht="15.75">
      <c r="B50" s="2" t="s">
        <v>123</v>
      </c>
      <c r="D50" s="41"/>
      <c r="F50" s="41"/>
      <c r="G50" s="41"/>
      <c r="H50" s="282">
        <v>4.5999999999999999E-2</v>
      </c>
      <c r="I50" s="282">
        <v>4.5999999999999999E-2</v>
      </c>
      <c r="J50" s="282">
        <v>4.5999999999999999E-2</v>
      </c>
      <c r="K50" s="282">
        <v>4.5999999999999999E-2</v>
      </c>
      <c r="L50" s="282">
        <v>4.5999999999999999E-2</v>
      </c>
    </row>
    <row r="51" spans="2:12" ht="15.75">
      <c r="B51" s="2" t="s">
        <v>155</v>
      </c>
      <c r="C51" s="249" t="s">
        <v>56</v>
      </c>
      <c r="D51" s="41"/>
      <c r="G51" s="41"/>
      <c r="H51" s="281">
        <v>0</v>
      </c>
      <c r="I51" s="281">
        <v>0</v>
      </c>
      <c r="J51" s="281">
        <v>0</v>
      </c>
      <c r="K51" s="281">
        <v>0</v>
      </c>
      <c r="L51" s="281">
        <v>0</v>
      </c>
    </row>
    <row r="52" spans="2:12" ht="15.75">
      <c r="B52" s="2" t="s">
        <v>33</v>
      </c>
      <c r="C52" s="249" t="s">
        <v>56</v>
      </c>
      <c r="D52" s="41"/>
      <c r="G52" s="41"/>
      <c r="H52" s="281">
        <v>0</v>
      </c>
      <c r="I52" s="281">
        <v>0</v>
      </c>
      <c r="J52" s="281">
        <v>0</v>
      </c>
      <c r="K52" s="281">
        <v>0</v>
      </c>
      <c r="L52" s="281">
        <v>0</v>
      </c>
    </row>
    <row r="53" spans="2:12" ht="15.75">
      <c r="B53" s="44" t="s">
        <v>89</v>
      </c>
      <c r="C53" s="38"/>
      <c r="D53" s="38"/>
      <c r="E53" s="38"/>
      <c r="H53" s="100">
        <v>0.26</v>
      </c>
      <c r="I53" s="100">
        <v>0.26</v>
      </c>
      <c r="J53" s="100">
        <v>0.26</v>
      </c>
      <c r="K53" s="100">
        <v>0.26</v>
      </c>
      <c r="L53" s="100">
        <v>0.26</v>
      </c>
    </row>
    <row r="54" spans="2:12">
      <c r="B54" s="46" t="s">
        <v>94</v>
      </c>
      <c r="C54" s="38"/>
      <c r="H54" s="100">
        <v>0.92</v>
      </c>
      <c r="I54" s="100">
        <v>0.92</v>
      </c>
      <c r="J54" s="100">
        <v>0.92</v>
      </c>
      <c r="K54" s="100">
        <v>0.92</v>
      </c>
      <c r="L54" s="100">
        <v>0.92</v>
      </c>
    </row>
    <row r="55" spans="2:12" ht="15.75">
      <c r="B55" s="2" t="s">
        <v>176</v>
      </c>
      <c r="H55" s="293">
        <v>0.05</v>
      </c>
      <c r="I55" s="293">
        <v>0.05</v>
      </c>
      <c r="J55" s="293">
        <v>0.05</v>
      </c>
      <c r="K55" s="293">
        <v>0.05</v>
      </c>
      <c r="L55" s="293">
        <v>0.05</v>
      </c>
    </row>
    <row r="56" spans="2:12" ht="15.75">
      <c r="B56" s="2" t="s">
        <v>177</v>
      </c>
      <c r="H56" s="293">
        <v>0.05</v>
      </c>
      <c r="I56" s="293">
        <v>0.05</v>
      </c>
      <c r="J56" s="293">
        <v>0.05</v>
      </c>
      <c r="K56" s="293">
        <v>0.05</v>
      </c>
      <c r="L56" s="293">
        <v>0.05</v>
      </c>
    </row>
    <row r="57" spans="2:12">
      <c r="B57" s="283" t="s">
        <v>244</v>
      </c>
      <c r="C57" s="284"/>
      <c r="D57" s="284"/>
      <c r="E57" s="284"/>
      <c r="F57" s="284"/>
      <c r="G57" s="284"/>
      <c r="H57" s="294">
        <f>2349591262/10000000</f>
        <v>234.95912619999999</v>
      </c>
      <c r="I57" s="284"/>
      <c r="J57" s="284"/>
      <c r="K57" s="284"/>
      <c r="L57" s="284"/>
    </row>
    <row r="58" spans="2:12">
      <c r="B58" s="46" t="s">
        <v>248</v>
      </c>
      <c r="H58" s="171">
        <f ca="1">TODAY()</f>
        <v>46201</v>
      </c>
    </row>
    <row r="59" spans="2:12">
      <c r="B59" s="46" t="s">
        <v>250</v>
      </c>
      <c r="C59" s="38"/>
      <c r="H59" s="295">
        <v>46387</v>
      </c>
    </row>
    <row r="60" spans="2:12" ht="16.5">
      <c r="B60" s="173" t="s">
        <v>249</v>
      </c>
      <c r="C60" s="172"/>
      <c r="H60" s="295">
        <v>46203</v>
      </c>
    </row>
    <row r="61" spans="2:12" ht="15.75">
      <c r="B61" s="8" t="s">
        <v>224</v>
      </c>
      <c r="H61" s="296">
        <v>0.02</v>
      </c>
    </row>
    <row r="62" spans="2:12" ht="16.5">
      <c r="B62" s="46" t="s">
        <v>256</v>
      </c>
      <c r="D62" s="170"/>
      <c r="H62" s="178">
        <v>7</v>
      </c>
    </row>
    <row r="63" spans="2:12">
      <c r="B63" s="13" t="s">
        <v>257</v>
      </c>
      <c r="D63" s="170"/>
      <c r="H63" s="299">
        <f>Core_Model!L54 + Core_Model!L48 + Core_Model!L55+Core_Model!L62</f>
        <v>1388.3175440396412</v>
      </c>
    </row>
    <row r="64" spans="2:12">
      <c r="B64" s="38"/>
      <c r="D64" s="170"/>
      <c r="H64" s="171"/>
    </row>
    <row r="65" spans="1:12" ht="18.75">
      <c r="A65" t="s">
        <v>76</v>
      </c>
      <c r="B65" s="257" t="s">
        <v>118</v>
      </c>
      <c r="C65" s="258"/>
      <c r="D65" s="258"/>
    </row>
    <row r="66" spans="1:12" ht="15.75">
      <c r="B66" s="44" t="s">
        <v>90</v>
      </c>
      <c r="C66" s="38"/>
      <c r="D66" s="45">
        <v>0.5</v>
      </c>
    </row>
    <row r="67" spans="1:12" ht="16.5">
      <c r="B67" s="2" t="s">
        <v>91</v>
      </c>
      <c r="C67" s="49"/>
      <c r="D67" s="50">
        <v>0.15</v>
      </c>
    </row>
    <row r="68" spans="1:12" ht="15.75">
      <c r="B68" s="44" t="s">
        <v>92</v>
      </c>
      <c r="C68" s="40"/>
      <c r="D68" s="51">
        <v>0</v>
      </c>
    </row>
    <row r="69" spans="1:12" ht="15.75">
      <c r="B69" s="44" t="s">
        <v>93</v>
      </c>
      <c r="C69" s="40"/>
      <c r="D69" s="52">
        <v>0</v>
      </c>
    </row>
    <row r="70" spans="1:12">
      <c r="B70" s="42" t="s">
        <v>95</v>
      </c>
      <c r="C70" s="43"/>
      <c r="D70" s="53">
        <v>0.5</v>
      </c>
    </row>
    <row r="71" spans="1:12">
      <c r="B71" s="46" t="s">
        <v>124</v>
      </c>
      <c r="C71" s="250" t="s">
        <v>96</v>
      </c>
      <c r="D71" s="285">
        <v>6.37</v>
      </c>
    </row>
    <row r="72" spans="1:12" ht="15" customHeight="1">
      <c r="B72" s="46" t="s">
        <v>127</v>
      </c>
      <c r="C72" s="250" t="s">
        <v>96</v>
      </c>
      <c r="D72" s="54">
        <v>14.28</v>
      </c>
      <c r="F72" s="39"/>
      <c r="G72" s="39"/>
      <c r="H72" s="39"/>
      <c r="I72" s="39"/>
      <c r="J72" s="39"/>
      <c r="K72" s="39"/>
      <c r="L72" s="39"/>
    </row>
    <row r="73" spans="1:12" ht="16.5">
      <c r="G73" s="23"/>
    </row>
    <row r="74" spans="1:12" ht="16.5">
      <c r="G74" s="23"/>
    </row>
    <row r="75" spans="1:12" ht="16.5">
      <c r="G75" s="23"/>
    </row>
    <row r="76" spans="1:12">
      <c r="G76" s="48"/>
    </row>
    <row r="77" spans="1:12" ht="16.5">
      <c r="G77" s="23"/>
    </row>
    <row r="78" spans="1:12" ht="16.5">
      <c r="G78" s="23"/>
    </row>
    <row r="79" spans="1:12" ht="16.5">
      <c r="G79" s="23"/>
    </row>
    <row r="80" spans="1:12" ht="16.5">
      <c r="G80" s="23"/>
    </row>
    <row r="81" spans="2:11" ht="16.5">
      <c r="G81" s="23"/>
    </row>
    <row r="82" spans="2:11" ht="16.5">
      <c r="G82" s="23"/>
    </row>
    <row r="83" spans="2:11" ht="16.5">
      <c r="G83" s="23"/>
    </row>
    <row r="84" spans="2:11" ht="16.5">
      <c r="G84" s="23"/>
    </row>
    <row r="85" spans="2:11" ht="16.5">
      <c r="G85" s="23"/>
    </row>
    <row r="86" spans="2:11" ht="18">
      <c r="G86" s="37"/>
    </row>
    <row r="91" spans="2:11" ht="15.75">
      <c r="B91" s="59"/>
      <c r="C91" s="59"/>
      <c r="D91" s="59"/>
      <c r="E91" s="59"/>
      <c r="F91" s="59"/>
      <c r="G91" s="59"/>
      <c r="H91" s="59"/>
      <c r="I91" s="59"/>
      <c r="J91" s="59"/>
      <c r="K91" s="59"/>
    </row>
  </sheetData>
  <conditionalFormatting sqref="H8:K11 H13:K16 H18:K21 H23:K26 H28:K31 H33:K36 H38:K41 H43:H46 H48:L48 H50:L54 B53:E53 B54:C54 B57:B58 B65:D72 H72:L72">
    <cfRule type="containsText" dxfId="7" priority="43" operator="containsText" text="OK">
      <formula>NOT(ISERROR(SEARCH("OK",B8)))</formula>
    </cfRule>
    <cfRule type="containsText" dxfId="6" priority="44" operator="containsText" text="ERROR">
      <formula>NOT(ISERROR(SEARCH("ERROR",B8)))</formula>
    </cfRule>
  </conditionalFormatting>
  <conditionalFormatting sqref="H49:L49">
    <cfRule type="expression" dxfId="5" priority="45">
      <formula>H49=1</formula>
    </cfRule>
  </conditionalFormatting>
  <conditionalFormatting sqref="H50:L50">
    <cfRule type="containsText" dxfId="4" priority="46" operator="containsText" text="OK">
      <formula>NOT(ISERROR(SEARCH("OK",H50)))</formula>
    </cfRule>
    <cfRule type="containsText" dxfId="3" priority="47" operator="containsText" text="ERROR">
      <formula>NOT(ISERROR(SEARCH("ERROR",H50)))</formula>
    </cfRule>
  </conditionalFormatting>
  <pageMargins left="0.40157480314960631" right="0.47244094488188981" top="0.40157480314960631" bottom="0.40157480314960631" header="0" footer="0"/>
  <pageSetup paperSize="9" scale="84" fitToWidth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1</xdr:col>
                    <xdr:colOff>2419350</xdr:colOff>
                    <xdr:row>5</xdr:row>
                    <xdr:rowOff>0</xdr:rowOff>
                  </from>
                  <to>
                    <xdr:col>3</xdr:col>
                    <xdr:colOff>600075</xdr:colOff>
                    <xdr:row>6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5D70-DED5-9348-B2B5-23ACCB6E8C8B}">
  <sheetPr>
    <pageSetUpPr fitToPage="1"/>
  </sheetPr>
  <dimension ref="A1:Y110"/>
  <sheetViews>
    <sheetView showGridLines="0" zoomScaleNormal="100" zoomScaleSheetLayoutView="100" workbookViewId="0"/>
  </sheetViews>
  <sheetFormatPr defaultRowHeight="15"/>
  <cols>
    <col min="1" max="1" width="7.140625" style="124" customWidth="1"/>
    <col min="2" max="2" width="28" customWidth="1"/>
    <col min="4" max="4" width="9.140625" style="16"/>
    <col min="5" max="7" width="18.5703125" customWidth="1"/>
    <col min="8" max="12" width="15.85546875" customWidth="1"/>
    <col min="13" max="13" width="9.140625" style="32"/>
  </cols>
  <sheetData>
    <row r="1" spans="1:17">
      <c r="A1" s="155"/>
    </row>
    <row r="2" spans="1:17" ht="26.25">
      <c r="A2" s="124" t="s">
        <v>76</v>
      </c>
      <c r="B2" s="26" t="s">
        <v>2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7" ht="26.25">
      <c r="B3" s="24" t="str">
        <f>Assumptions!B2</f>
        <v>Particulars</v>
      </c>
      <c r="C3" s="98" t="str">
        <f>Assumptions!C2</f>
        <v xml:space="preserve"> </v>
      </c>
      <c r="D3" s="98" t="str">
        <f>Assumptions!D2</f>
        <v xml:space="preserve"> </v>
      </c>
      <c r="E3" s="55">
        <f>Assumptions!E2</f>
        <v>2023</v>
      </c>
      <c r="F3" s="55">
        <f>Assumptions!F2</f>
        <v>2024</v>
      </c>
      <c r="G3" s="55">
        <f>Assumptions!G2</f>
        <v>2025</v>
      </c>
      <c r="H3" s="103">
        <f>Assumptions!H2</f>
        <v>2026</v>
      </c>
      <c r="I3" s="103">
        <f>Assumptions!I2</f>
        <v>2027</v>
      </c>
      <c r="J3" s="103">
        <f>Assumptions!J2</f>
        <v>2028</v>
      </c>
      <c r="K3" s="103">
        <f>Assumptions!K2</f>
        <v>2029</v>
      </c>
      <c r="L3" s="103">
        <f>Assumptions!L2</f>
        <v>2030</v>
      </c>
    </row>
    <row r="4" spans="1:17">
      <c r="A4"/>
      <c r="D4"/>
      <c r="M4"/>
    </row>
    <row r="5" spans="1:17" ht="15.75">
      <c r="B5" s="5" t="s">
        <v>3</v>
      </c>
      <c r="E5" s="28">
        <v>60580</v>
      </c>
      <c r="F5" s="28">
        <v>61896</v>
      </c>
      <c r="G5" s="28">
        <v>63121</v>
      </c>
      <c r="H5" s="56">
        <f>G5*(1+Assumptions!H8)</f>
        <v>66277.05</v>
      </c>
      <c r="I5" s="56">
        <f>H5*(1+Assumptions!I8)</f>
        <v>71711.768100000001</v>
      </c>
      <c r="J5" s="56">
        <f>I5*(1+Assumptions!J8)</f>
        <v>77448.709548000013</v>
      </c>
      <c r="K5" s="56">
        <f>J5*(1+Assumptions!K8)</f>
        <v>82870.119216360021</v>
      </c>
      <c r="L5" s="56">
        <f>K5*(1+Assumptions!L8)</f>
        <v>87842.326369341623</v>
      </c>
    </row>
    <row r="6" spans="1:17" ht="15.75">
      <c r="B6" s="5" t="s">
        <v>4</v>
      </c>
      <c r="E6" s="28">
        <f>(20212+11579-75)*-1</f>
        <v>-31716</v>
      </c>
      <c r="F6" s="28">
        <f>(19257+10514-11)*-1</f>
        <v>-29760</v>
      </c>
      <c r="G6" s="28">
        <f>(19458+11273-153)*-1</f>
        <v>-30578</v>
      </c>
      <c r="H6" s="56">
        <f>G6*(1+Assumptions!H13)</f>
        <v>-32045.744000000002</v>
      </c>
      <c r="I6" s="56">
        <f>H6*(1+Assumptions!I13)</f>
        <v>-34769.632239999999</v>
      </c>
      <c r="J6" s="56">
        <f>I6*(1+Assumptions!J13)</f>
        <v>-37412.124290240004</v>
      </c>
      <c r="K6" s="56">
        <f>J6*(1+Assumptions!K13)</f>
        <v>-39843.912369105601</v>
      </c>
      <c r="L6" s="56">
        <f>K6*(1+Assumptions!L13)</f>
        <v>-42035.327549406407</v>
      </c>
    </row>
    <row r="7" spans="1:17" s="1" customFormat="1" ht="15.75">
      <c r="A7" s="32"/>
      <c r="B7" s="3" t="s">
        <v>5</v>
      </c>
      <c r="D7" s="17"/>
      <c r="E7" s="29">
        <f t="shared" ref="E7:L7" si="0">SUM(E5:E6)</f>
        <v>28864</v>
      </c>
      <c r="F7" s="29">
        <f t="shared" si="0"/>
        <v>32136</v>
      </c>
      <c r="G7" s="29">
        <f t="shared" si="0"/>
        <v>32543</v>
      </c>
      <c r="H7" s="80">
        <f>SUM(H5:H6)</f>
        <v>34231.305999999997</v>
      </c>
      <c r="I7" s="80">
        <f t="shared" si="0"/>
        <v>36942.135860000002</v>
      </c>
      <c r="J7" s="80">
        <f t="shared" si="0"/>
        <v>40036.585257760009</v>
      </c>
      <c r="K7" s="80">
        <f t="shared" si="0"/>
        <v>43026.20684725442</v>
      </c>
      <c r="L7" s="80">
        <f t="shared" si="0"/>
        <v>45806.998819935216</v>
      </c>
      <c r="M7" s="32"/>
    </row>
    <row r="8" spans="1:17" ht="15.75">
      <c r="B8" s="3"/>
      <c r="E8" s="28"/>
      <c r="F8" s="28"/>
      <c r="G8" s="28"/>
      <c r="H8" s="56"/>
      <c r="I8" s="56"/>
      <c r="J8" s="56"/>
      <c r="K8" s="56"/>
      <c r="L8" s="56"/>
    </row>
    <row r="9" spans="1:17" ht="15.75">
      <c r="B9" s="5" t="s">
        <v>6</v>
      </c>
      <c r="E9" s="28">
        <v>-2854</v>
      </c>
      <c r="F9" s="28">
        <v>-3009</v>
      </c>
      <c r="G9" s="28">
        <v>-3077</v>
      </c>
      <c r="H9" s="56">
        <f>G9*(1+Assumptions!H50)</f>
        <v>-3218.5419999999999</v>
      </c>
      <c r="I9" s="56">
        <f>H9*(1+Assumptions!I50)</f>
        <v>-3366.594932</v>
      </c>
      <c r="J9" s="56">
        <f>I9*(1+Assumptions!J50)</f>
        <v>-3521.4582988719999</v>
      </c>
      <c r="K9" s="56">
        <f>J9*(1+Assumptions!K50)</f>
        <v>-3683.4453806201122</v>
      </c>
      <c r="L9" s="56">
        <f>K9*(1+Assumptions!L50)</f>
        <v>-3852.8838681286375</v>
      </c>
    </row>
    <row r="10" spans="1:17">
      <c r="B10" s="81" t="s">
        <v>106</v>
      </c>
      <c r="E10" s="28">
        <v>-11862</v>
      </c>
      <c r="F10" s="28">
        <v>-14464</v>
      </c>
      <c r="G10" s="28">
        <v>-14615</v>
      </c>
      <c r="H10" s="56">
        <f>G10*(1+Assumptions!H18)</f>
        <v>-15199.6</v>
      </c>
      <c r="I10" s="56">
        <f>H10*(1+Assumptions!I18)</f>
        <v>-16339.57</v>
      </c>
      <c r="J10" s="56">
        <f>I10*(1+Assumptions!J18)</f>
        <v>-17516.019039999999</v>
      </c>
      <c r="K10" s="56">
        <f>J10*(1+Assumptions!K18)</f>
        <v>-18602.012220479999</v>
      </c>
      <c r="L10" s="56">
        <f>K10*(1+Assumptions!L18)</f>
        <v>-19625.1228926064</v>
      </c>
    </row>
    <row r="11" spans="1:17" s="1" customFormat="1" ht="15.75">
      <c r="A11" s="32"/>
      <c r="B11" s="3" t="s">
        <v>7</v>
      </c>
      <c r="D11" s="17"/>
      <c r="E11" s="29">
        <f t="shared" ref="E11:L11" si="1">SUM(E7:E10)</f>
        <v>14148</v>
      </c>
      <c r="F11" s="29">
        <f t="shared" si="1"/>
        <v>14663</v>
      </c>
      <c r="G11" s="29">
        <f t="shared" si="1"/>
        <v>14851</v>
      </c>
      <c r="H11" s="80">
        <f>SUM(H7:H10)</f>
        <v>15813.163999999995</v>
      </c>
      <c r="I11" s="80">
        <f t="shared" si="1"/>
        <v>17235.970928000002</v>
      </c>
      <c r="J11" s="80">
        <f t="shared" si="1"/>
        <v>18999.10791888801</v>
      </c>
      <c r="K11" s="80">
        <f t="shared" si="1"/>
        <v>20740.749246154308</v>
      </c>
      <c r="L11" s="80">
        <f t="shared" si="1"/>
        <v>22328.99205920018</v>
      </c>
      <c r="M11" s="32"/>
    </row>
    <row r="12" spans="1:17" ht="15.75">
      <c r="B12" s="2"/>
      <c r="E12" s="28"/>
      <c r="F12" s="28"/>
      <c r="G12" s="28"/>
      <c r="H12" s="56"/>
      <c r="I12" s="56"/>
      <c r="J12" s="56"/>
      <c r="K12" s="56"/>
      <c r="L12" s="56"/>
      <c r="Q12" s="57"/>
    </row>
    <row r="13" spans="1:17" ht="15.75">
      <c r="B13" s="5" t="s">
        <v>8</v>
      </c>
      <c r="E13" s="28">
        <v>-1137</v>
      </c>
      <c r="F13" s="28">
        <v>-1216</v>
      </c>
      <c r="G13" s="28">
        <v>-1355</v>
      </c>
      <c r="H13" s="56">
        <f>Schedules!H56*-1</f>
        <v>-1354.0031397174255</v>
      </c>
      <c r="I13" s="56">
        <f>Schedules!I56*-1</f>
        <v>-1456.1106397174256</v>
      </c>
      <c r="J13" s="56">
        <f>Schedules!J56*-1</f>
        <v>-1566.5909547174256</v>
      </c>
      <c r="K13" s="56">
        <f>Schedules!K56*-1</f>
        <v>-1685.9096949174254</v>
      </c>
      <c r="L13" s="56">
        <f>Schedules!L56*-1</f>
        <v>-1813.5807469314254</v>
      </c>
    </row>
    <row r="14" spans="1:17" s="1" customFormat="1" ht="15.75">
      <c r="A14" s="32"/>
      <c r="B14" s="3" t="s">
        <v>9</v>
      </c>
      <c r="D14" s="17"/>
      <c r="E14" s="29">
        <f t="shared" ref="E14:L14" si="2">SUM(E11:E13)</f>
        <v>13011</v>
      </c>
      <c r="F14" s="29">
        <f t="shared" si="2"/>
        <v>13447</v>
      </c>
      <c r="G14" s="29">
        <f t="shared" si="2"/>
        <v>13496</v>
      </c>
      <c r="H14" s="29">
        <f t="shared" si="2"/>
        <v>14459.160860282569</v>
      </c>
      <c r="I14" s="29">
        <f t="shared" si="2"/>
        <v>15779.860288282576</v>
      </c>
      <c r="J14" s="29">
        <f t="shared" si="2"/>
        <v>17432.516964170583</v>
      </c>
      <c r="K14" s="29">
        <f t="shared" si="2"/>
        <v>19054.839551236881</v>
      </c>
      <c r="L14" s="29">
        <f t="shared" si="2"/>
        <v>20515.411312268756</v>
      </c>
      <c r="M14" s="32"/>
    </row>
    <row r="15" spans="1:17" ht="15.75">
      <c r="B15" s="3"/>
      <c r="E15" s="56"/>
      <c r="F15" s="56"/>
      <c r="G15" s="56"/>
      <c r="H15" s="56"/>
      <c r="I15" s="56"/>
      <c r="J15" s="56"/>
      <c r="K15" s="56"/>
      <c r="L15" s="56"/>
    </row>
    <row r="16" spans="1:17" ht="15.75">
      <c r="B16" s="6" t="s">
        <v>129</v>
      </c>
      <c r="E16" s="28">
        <f>512-1</f>
        <v>511</v>
      </c>
      <c r="F16" s="28">
        <f>811-4</f>
        <v>807</v>
      </c>
      <c r="G16" s="28">
        <f>1017-8</f>
        <v>1009</v>
      </c>
      <c r="H16" s="56">
        <f>H5*0.015</f>
        <v>994.15575000000001</v>
      </c>
      <c r="I16" s="56">
        <f>I5*0.015</f>
        <v>1075.6765215</v>
      </c>
      <c r="J16" s="56">
        <f>J5*0.015</f>
        <v>1161.73064322</v>
      </c>
      <c r="K16" s="56">
        <f>K5*0.015</f>
        <v>1243.0517882454003</v>
      </c>
      <c r="L16" s="56">
        <f>L5*0.015</f>
        <v>1317.6348955401243</v>
      </c>
    </row>
    <row r="17" spans="1:13" ht="15.75">
      <c r="B17" s="5" t="s">
        <v>130</v>
      </c>
      <c r="E17" s="28">
        <v>-114</v>
      </c>
      <c r="F17" s="28">
        <v>-334</v>
      </c>
      <c r="G17" s="28">
        <v>-395</v>
      </c>
      <c r="H17" s="56">
        <f>Schedules!H177</f>
        <v>0.05</v>
      </c>
      <c r="I17" s="56">
        <f>Schedules!I177</f>
        <v>0</v>
      </c>
      <c r="J17" s="56">
        <f>Schedules!J177</f>
        <v>0</v>
      </c>
      <c r="K17" s="56">
        <f>Schedules!K177</f>
        <v>0</v>
      </c>
      <c r="L17" s="56">
        <f>Schedules!L177</f>
        <v>2</v>
      </c>
    </row>
    <row r="18" spans="1:13" ht="15.75">
      <c r="B18" s="5" t="s">
        <v>15</v>
      </c>
      <c r="E18" s="28">
        <v>-64</v>
      </c>
      <c r="F18" s="28">
        <v>6</v>
      </c>
      <c r="G18" s="28">
        <v>305</v>
      </c>
      <c r="H18" s="56">
        <f>Schedules!H177</f>
        <v>0.05</v>
      </c>
      <c r="I18" s="56">
        <f>Schedules!I177</f>
        <v>0</v>
      </c>
      <c r="J18" s="56">
        <f>Schedules!J177</f>
        <v>0</v>
      </c>
      <c r="K18" s="56">
        <f>Schedules!K177</f>
        <v>0</v>
      </c>
      <c r="L18" s="56">
        <f>Schedules!L177</f>
        <v>2</v>
      </c>
    </row>
    <row r="19" spans="1:13" s="1" customFormat="1" ht="15.75">
      <c r="A19" s="32"/>
      <c r="B19" s="3" t="s">
        <v>10</v>
      </c>
      <c r="D19" s="17"/>
      <c r="E19" s="29">
        <f t="shared" ref="E19:L19" si="3">SUM(E14:E18)</f>
        <v>13344</v>
      </c>
      <c r="F19" s="29">
        <f t="shared" si="3"/>
        <v>13926</v>
      </c>
      <c r="G19" s="29">
        <f t="shared" si="3"/>
        <v>14415</v>
      </c>
      <c r="H19" s="29">
        <f t="shared" si="3"/>
        <v>15453.416610282567</v>
      </c>
      <c r="I19" s="29">
        <f t="shared" si="3"/>
        <v>16855.536809782578</v>
      </c>
      <c r="J19" s="29">
        <f t="shared" si="3"/>
        <v>18594.247607390582</v>
      </c>
      <c r="K19" s="29">
        <f t="shared" si="3"/>
        <v>20297.891339482281</v>
      </c>
      <c r="L19" s="29">
        <f t="shared" si="3"/>
        <v>21837.046207808879</v>
      </c>
      <c r="M19" s="32"/>
    </row>
    <row r="20" spans="1:13" ht="15.75">
      <c r="B20" s="3"/>
      <c r="E20" s="28"/>
      <c r="F20" s="28"/>
      <c r="G20" s="28"/>
      <c r="H20" s="56"/>
      <c r="I20" s="56"/>
      <c r="J20" s="56"/>
      <c r="K20" s="56"/>
      <c r="L20" s="56"/>
    </row>
    <row r="21" spans="1:13" ht="15.75">
      <c r="B21" s="5" t="s">
        <v>11</v>
      </c>
      <c r="E21" s="28">
        <v>-3001</v>
      </c>
      <c r="F21" s="28">
        <v>-3521</v>
      </c>
      <c r="G21" s="28">
        <v>-3620</v>
      </c>
      <c r="H21" s="56">
        <f>Schedules!H122*-1</f>
        <v>-4341.4962805499981</v>
      </c>
      <c r="I21" s="56">
        <f>Schedules!I122*-1</f>
        <v>-4677.6632076226015</v>
      </c>
      <c r="J21" s="56">
        <f>Schedules!J122*-1</f>
        <v>-5106.9678213768002</v>
      </c>
      <c r="K21" s="56">
        <f>Schedules!K122*-1</f>
        <v>-5532.3888173484247</v>
      </c>
      <c r="L21" s="56">
        <f>Schedules!L122*-1</f>
        <v>-5920.0378352200378</v>
      </c>
    </row>
    <row r="22" spans="1:13" ht="15.75">
      <c r="B22" s="5" t="s">
        <v>12</v>
      </c>
      <c r="E22" s="28">
        <v>-200</v>
      </c>
      <c r="F22" s="28">
        <v>-123</v>
      </c>
      <c r="G22" s="28">
        <v>-124</v>
      </c>
      <c r="H22" s="56">
        <f>Schedules!H123</f>
        <v>-323.60796187653023</v>
      </c>
      <c r="I22" s="56">
        <f>Schedules!I123</f>
        <v>-295.22363707913155</v>
      </c>
      <c r="J22" s="56">
        <f>Schedules!J123</f>
        <v>-272.46344345524903</v>
      </c>
      <c r="K22" s="56">
        <f>Schedules!K123</f>
        <v>-254.93706908303102</v>
      </c>
      <c r="L22" s="56">
        <f>Schedules!L123</f>
        <v>-242.40582118972907</v>
      </c>
    </row>
    <row r="23" spans="1:13" ht="15.75">
      <c r="B23" s="5" t="s">
        <v>13</v>
      </c>
      <c r="E23" s="30">
        <f t="shared" ref="E23:L23" si="4">SUM(E21:E22)</f>
        <v>-3201</v>
      </c>
      <c r="F23" s="30">
        <f t="shared" si="4"/>
        <v>-3644</v>
      </c>
      <c r="G23" s="30">
        <f t="shared" si="4"/>
        <v>-3744</v>
      </c>
      <c r="H23" s="56">
        <f>SUM(H21:H22)</f>
        <v>-4665.1042424265288</v>
      </c>
      <c r="I23" s="56">
        <f t="shared" si="4"/>
        <v>-4972.886844701733</v>
      </c>
      <c r="J23" s="56">
        <f t="shared" si="4"/>
        <v>-5379.4312648320492</v>
      </c>
      <c r="K23" s="56">
        <f t="shared" si="4"/>
        <v>-5787.3258864314557</v>
      </c>
      <c r="L23" s="56">
        <f t="shared" si="4"/>
        <v>-6162.4436564097668</v>
      </c>
    </row>
    <row r="24" spans="1:13" ht="15.75">
      <c r="B24" s="2"/>
      <c r="E24" s="56"/>
      <c r="F24" s="56"/>
      <c r="G24" s="56"/>
      <c r="H24" s="56"/>
      <c r="I24" s="56"/>
      <c r="J24" s="56"/>
      <c r="K24" s="56"/>
      <c r="L24" s="56"/>
    </row>
    <row r="25" spans="1:13" s="1" customFormat="1" ht="15.75">
      <c r="A25" s="32"/>
      <c r="B25" s="3" t="s">
        <v>14</v>
      </c>
      <c r="D25" s="17"/>
      <c r="E25" s="29">
        <f t="shared" ref="E25:L25" si="5">E19+E23</f>
        <v>10143</v>
      </c>
      <c r="F25" s="29">
        <f t="shared" si="5"/>
        <v>10282</v>
      </c>
      <c r="G25" s="29">
        <f t="shared" si="5"/>
        <v>10671</v>
      </c>
      <c r="H25" s="29">
        <f>H19+H23</f>
        <v>10788.312367856039</v>
      </c>
      <c r="I25" s="29">
        <f t="shared" si="5"/>
        <v>11882.649965080844</v>
      </c>
      <c r="J25" s="29">
        <f t="shared" si="5"/>
        <v>13214.816342558534</v>
      </c>
      <c r="K25" s="29">
        <f t="shared" si="5"/>
        <v>14510.565453050825</v>
      </c>
      <c r="L25" s="29">
        <f t="shared" si="5"/>
        <v>15674.602551399112</v>
      </c>
      <c r="M25" s="32"/>
    </row>
    <row r="26" spans="1:13" s="1" customFormat="1" ht="15.75">
      <c r="A26" s="32"/>
      <c r="B26" s="140"/>
      <c r="D26" s="17"/>
      <c r="E26" s="29"/>
      <c r="F26" s="29"/>
      <c r="G26" s="29"/>
      <c r="H26" s="29"/>
      <c r="I26" s="29"/>
      <c r="J26" s="29"/>
      <c r="K26" s="29"/>
      <c r="L26" s="29"/>
      <c r="M26" s="32"/>
    </row>
    <row r="28" spans="1:13" ht="26.25">
      <c r="A28" s="124" t="s">
        <v>76</v>
      </c>
      <c r="B28" s="26" t="s">
        <v>17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3" ht="26.25">
      <c r="B29" s="24" t="str">
        <f t="shared" ref="B29:L29" si="6">B3</f>
        <v>Particulars</v>
      </c>
      <c r="C29" s="25" t="str">
        <f t="shared" si="6"/>
        <v xml:space="preserve"> </v>
      </c>
      <c r="D29" s="25" t="str">
        <f t="shared" si="6"/>
        <v xml:space="preserve"> </v>
      </c>
      <c r="E29" s="55">
        <f t="shared" si="6"/>
        <v>2023</v>
      </c>
      <c r="F29" s="55">
        <f t="shared" si="6"/>
        <v>2024</v>
      </c>
      <c r="G29" s="55">
        <f t="shared" si="6"/>
        <v>2025</v>
      </c>
      <c r="H29" s="103">
        <f t="shared" si="6"/>
        <v>2026</v>
      </c>
      <c r="I29" s="103">
        <f t="shared" si="6"/>
        <v>2027</v>
      </c>
      <c r="J29" s="103">
        <f t="shared" si="6"/>
        <v>2028</v>
      </c>
      <c r="K29" s="103">
        <f t="shared" si="6"/>
        <v>2029</v>
      </c>
      <c r="L29" s="103">
        <f t="shared" si="6"/>
        <v>2030</v>
      </c>
    </row>
    <row r="30" spans="1:13">
      <c r="A30"/>
      <c r="D30"/>
      <c r="M30"/>
    </row>
    <row r="31" spans="1:13" ht="15.75">
      <c r="B31" s="7" t="s">
        <v>18</v>
      </c>
    </row>
    <row r="32" spans="1:13" ht="15.75">
      <c r="B32" s="8" t="s">
        <v>19</v>
      </c>
      <c r="E32" s="28">
        <f>714</f>
        <v>714</v>
      </c>
      <c r="F32" s="28">
        <v>825</v>
      </c>
      <c r="G32" s="28">
        <v>6071</v>
      </c>
      <c r="H32" s="56">
        <f>H102</f>
        <v>4685.1783047210702</v>
      </c>
      <c r="I32" s="56">
        <f t="shared" ref="I32:L32" si="7">I102</f>
        <v>6252.4707188994398</v>
      </c>
      <c r="J32" s="56">
        <f t="shared" si="7"/>
        <v>8009.3963960230667</v>
      </c>
      <c r="K32" s="56">
        <f t="shared" si="7"/>
        <v>9692.8082774118848</v>
      </c>
      <c r="L32" s="56">
        <f t="shared" si="7"/>
        <v>11420.803793655125</v>
      </c>
    </row>
    <row r="33" spans="1:13">
      <c r="B33" s="13" t="s">
        <v>77</v>
      </c>
      <c r="E33" s="28">
        <v>3964</v>
      </c>
      <c r="F33" s="28">
        <v>6734</v>
      </c>
      <c r="G33" s="28">
        <v>1483</v>
      </c>
      <c r="H33" s="56">
        <v>1483</v>
      </c>
      <c r="I33" s="56">
        <v>1483</v>
      </c>
      <c r="J33" s="56">
        <v>1483</v>
      </c>
      <c r="K33" s="56">
        <v>1483</v>
      </c>
      <c r="L33" s="56">
        <v>1483</v>
      </c>
    </row>
    <row r="34" spans="1:13" ht="15.75">
      <c r="B34" s="8" t="s">
        <v>20</v>
      </c>
      <c r="E34" s="28">
        <v>3079</v>
      </c>
      <c r="F34" s="28">
        <v>2997</v>
      </c>
      <c r="G34" s="28">
        <v>3819</v>
      </c>
      <c r="H34" s="56">
        <f>Schedules!H10</f>
        <v>3813.2001369863015</v>
      </c>
      <c r="I34" s="56">
        <f>Schedules!I10</f>
        <v>4125.8825482191778</v>
      </c>
      <c r="J34" s="56">
        <f>Schedules!J10</f>
        <v>4443.7784166885258</v>
      </c>
      <c r="K34" s="56">
        <f>Schedules!K10</f>
        <v>4767.8698727220835</v>
      </c>
      <c r="L34" s="56">
        <f>Schedules!L10</f>
        <v>5053.9420650854081</v>
      </c>
    </row>
    <row r="35" spans="1:13" ht="15.75">
      <c r="B35" s="8" t="s">
        <v>21</v>
      </c>
      <c r="E35" s="28">
        <v>4251</v>
      </c>
      <c r="F35" s="28">
        <v>4022</v>
      </c>
      <c r="G35" s="28">
        <v>4415</v>
      </c>
      <c r="H35" s="56">
        <f>Schedules!H11</f>
        <v>4521.5227835616442</v>
      </c>
      <c r="I35" s="56">
        <f>Schedules!I11</f>
        <v>4905.8522201643837</v>
      </c>
      <c r="J35" s="56">
        <f>Schedules!J11</f>
        <v>5213.1648601154111</v>
      </c>
      <c r="K35" s="56">
        <f>Schedules!K11</f>
        <v>5567.2315912996864</v>
      </c>
      <c r="L35" s="56">
        <f>Schedules!L11</f>
        <v>5873.4293288211693</v>
      </c>
    </row>
    <row r="36" spans="1:13" ht="15.75">
      <c r="B36" s="8" t="s">
        <v>132</v>
      </c>
      <c r="D36" s="290">
        <f>3519+35+1089+688+13</f>
        <v>5344</v>
      </c>
      <c r="E36" s="28">
        <f>2811+36+1386+745+12</f>
        <v>4990</v>
      </c>
      <c r="F36" s="28">
        <f>4558+38+1425+713+12</f>
        <v>6746</v>
      </c>
      <c r="G36" s="28">
        <f>3751+46+1488+955+23</f>
        <v>6263</v>
      </c>
      <c r="H36" s="56">
        <f>H5*0.095</f>
        <v>6296.3197500000006</v>
      </c>
      <c r="I36" s="56">
        <f>I5*0.095</f>
        <v>6812.6179695000001</v>
      </c>
      <c r="J36" s="56">
        <f>J5*0.095</f>
        <v>7357.6274070600011</v>
      </c>
      <c r="K36" s="56">
        <f>K5*0.095</f>
        <v>7872.6613255542024</v>
      </c>
      <c r="L36" s="56">
        <f>L5*0.095</f>
        <v>8345.0210050874539</v>
      </c>
    </row>
    <row r="37" spans="1:13" s="1" customFormat="1" ht="15.75">
      <c r="A37" s="32"/>
      <c r="B37" s="9" t="s">
        <v>22</v>
      </c>
      <c r="D37" s="135"/>
      <c r="E37" s="29">
        <f>SUM(E32:E36)</f>
        <v>16998</v>
      </c>
      <c r="F37" s="29">
        <f>SUM(F32:F36)</f>
        <v>21324</v>
      </c>
      <c r="G37" s="29">
        <f>SUM(G32:G36)</f>
        <v>22051</v>
      </c>
      <c r="H37" s="29">
        <f>SUM(H32:H36)</f>
        <v>20799.220975269018</v>
      </c>
      <c r="I37" s="29">
        <f t="shared" ref="I37:L37" si="8">SUM(I32:I36)</f>
        <v>23579.823456783</v>
      </c>
      <c r="J37" s="29">
        <f t="shared" si="8"/>
        <v>26506.967079887007</v>
      </c>
      <c r="K37" s="29">
        <f t="shared" si="8"/>
        <v>29383.571066987857</v>
      </c>
      <c r="L37" s="29">
        <f t="shared" si="8"/>
        <v>32176.196192649157</v>
      </c>
      <c r="M37" s="32"/>
    </row>
    <row r="38" spans="1:13" ht="15.75">
      <c r="B38" s="9"/>
      <c r="D38" s="290"/>
      <c r="E38" s="28"/>
      <c r="F38" s="28"/>
      <c r="G38" s="28"/>
      <c r="H38" s="56"/>
      <c r="I38" s="56"/>
      <c r="J38" s="56"/>
      <c r="K38" s="56"/>
      <c r="L38" s="56"/>
    </row>
    <row r="39" spans="1:13" ht="15.75">
      <c r="B39" s="8" t="s">
        <v>139</v>
      </c>
      <c r="D39" s="290"/>
      <c r="E39" s="28">
        <v>17466</v>
      </c>
      <c r="F39" s="28">
        <v>17466</v>
      </c>
      <c r="G39" s="28">
        <v>17466</v>
      </c>
      <c r="H39" s="56">
        <v>17466</v>
      </c>
      <c r="I39" s="56">
        <v>17466</v>
      </c>
      <c r="J39" s="56">
        <v>17466</v>
      </c>
      <c r="K39" s="56">
        <v>17466</v>
      </c>
      <c r="L39" s="56">
        <v>17466</v>
      </c>
    </row>
    <row r="40" spans="1:13" ht="15.75">
      <c r="B40" s="8" t="s">
        <v>140</v>
      </c>
      <c r="D40" s="290"/>
      <c r="E40" s="28">
        <v>28263</v>
      </c>
      <c r="F40" s="28">
        <v>28247</v>
      </c>
      <c r="G40" s="28">
        <v>28244</v>
      </c>
      <c r="H40" s="56">
        <f>G40*0.97</f>
        <v>27396.68</v>
      </c>
      <c r="I40" s="56">
        <f t="shared" ref="I40:L40" si="9">H40*0.97</f>
        <v>26574.779599999998</v>
      </c>
      <c r="J40" s="56">
        <f t="shared" si="9"/>
        <v>25777.536211999999</v>
      </c>
      <c r="K40" s="56">
        <f t="shared" si="9"/>
        <v>25004.210125639998</v>
      </c>
      <c r="L40" s="56">
        <f t="shared" si="9"/>
        <v>24254.083821870798</v>
      </c>
    </row>
    <row r="41" spans="1:13" ht="15.75">
      <c r="B41" s="11" t="s">
        <v>37</v>
      </c>
      <c r="D41" s="290">
        <f>2+115+729+11+1158+194</f>
        <v>2209</v>
      </c>
      <c r="E41" s="28">
        <f>69+2+98+725+10+1164+211</f>
        <v>2279</v>
      </c>
      <c r="F41" s="28">
        <f>65+2+102+760+10+1175+292</f>
        <v>2406</v>
      </c>
      <c r="G41" s="28">
        <f>57+2+87+763+17+1199+360</f>
        <v>2485</v>
      </c>
      <c r="H41" s="56">
        <f>57+2+87+763+17+1199+360</f>
        <v>2485</v>
      </c>
      <c r="I41" s="56">
        <f t="shared" ref="I41:L41" si="10">57+2+87+763+17+1199+360</f>
        <v>2485</v>
      </c>
      <c r="J41" s="56">
        <f t="shared" si="10"/>
        <v>2485</v>
      </c>
      <c r="K41" s="56">
        <f t="shared" si="10"/>
        <v>2485</v>
      </c>
      <c r="L41" s="56">
        <f t="shared" si="10"/>
        <v>2485</v>
      </c>
    </row>
    <row r="42" spans="1:13" ht="15.75">
      <c r="B42" s="8" t="s">
        <v>23</v>
      </c>
      <c r="D42" s="290"/>
      <c r="E42" s="28">
        <f>6949+1132</f>
        <v>8081</v>
      </c>
      <c r="F42" s="28">
        <f>8031+1025</f>
        <v>9056</v>
      </c>
      <c r="G42" s="28">
        <f>8625+1009</f>
        <v>9634</v>
      </c>
      <c r="H42" s="56">
        <f>Schedules!H74</f>
        <v>9738.0919602825743</v>
      </c>
      <c r="I42" s="56">
        <f>Schedules!I74</f>
        <v>9859.6402187651474</v>
      </c>
      <c r="J42" s="56">
        <f>Schedules!J74</f>
        <v>9996.9208741037219</v>
      </c>
      <c r="K42" s="56">
        <f>Schedules!K74</f>
        <v>10134.153801946217</v>
      </c>
      <c r="L42" s="56">
        <f>Schedules!L74</f>
        <v>10253.104235140307</v>
      </c>
    </row>
    <row r="43" spans="1:13" s="1" customFormat="1" ht="15.75">
      <c r="A43" s="32"/>
      <c r="B43" s="9" t="s">
        <v>24</v>
      </c>
      <c r="D43" s="135"/>
      <c r="E43" s="29">
        <f>SUM(E37:E42)</f>
        <v>73087</v>
      </c>
      <c r="F43" s="29">
        <f>SUM(F37:F42)</f>
        <v>78499</v>
      </c>
      <c r="G43" s="29">
        <f>SUM(G37:G42)</f>
        <v>79880</v>
      </c>
      <c r="H43" s="29">
        <f>SUM(H37:H42)</f>
        <v>77884.992935551592</v>
      </c>
      <c r="I43" s="29">
        <f t="shared" ref="I43:L43" si="11">SUM(I37:I42)</f>
        <v>79965.243275548157</v>
      </c>
      <c r="J43" s="29">
        <f t="shared" si="11"/>
        <v>82232.424165990727</v>
      </c>
      <c r="K43" s="29">
        <f t="shared" si="11"/>
        <v>84472.934994574069</v>
      </c>
      <c r="L43" s="29">
        <f t="shared" si="11"/>
        <v>86634.384249660259</v>
      </c>
      <c r="M43" s="32"/>
    </row>
    <row r="44" spans="1:13" ht="15.75">
      <c r="B44" s="10"/>
      <c r="D44" s="290"/>
      <c r="E44" s="28"/>
      <c r="F44" s="28"/>
      <c r="G44" s="28"/>
      <c r="H44" s="56"/>
      <c r="I44" s="56"/>
      <c r="J44" s="56"/>
      <c r="K44" s="56"/>
      <c r="L44" s="56"/>
    </row>
    <row r="45" spans="1:13" ht="15.75">
      <c r="B45" s="7"/>
      <c r="D45" s="290"/>
      <c r="E45" s="28"/>
      <c r="F45" s="28"/>
      <c r="G45" s="28"/>
      <c r="H45" s="56"/>
      <c r="I45" s="56"/>
      <c r="J45" s="56"/>
      <c r="K45" s="56"/>
      <c r="L45" s="56"/>
    </row>
    <row r="46" spans="1:13" ht="15.75">
      <c r="B46" s="7" t="s">
        <v>25</v>
      </c>
      <c r="D46" s="290"/>
      <c r="E46" s="28"/>
      <c r="F46" s="28"/>
      <c r="G46" s="28"/>
      <c r="H46" s="56"/>
      <c r="I46" s="56"/>
      <c r="J46" s="56"/>
      <c r="K46" s="56"/>
      <c r="L46" s="56"/>
    </row>
    <row r="47" spans="1:13" ht="15.75">
      <c r="B47" s="8" t="s">
        <v>26</v>
      </c>
      <c r="D47" s="290"/>
      <c r="E47" s="28">
        <f>100+9474</f>
        <v>9574</v>
      </c>
      <c r="F47" s="28">
        <f>250+10236</f>
        <v>10486</v>
      </c>
      <c r="G47" s="28">
        <f>263+11052</f>
        <v>11315</v>
      </c>
      <c r="H47" s="56">
        <f>Schedules!H12</f>
        <v>11676.942334246576</v>
      </c>
      <c r="I47" s="56">
        <f>Schedules!I12</f>
        <v>12669.482432657534</v>
      </c>
      <c r="J47" s="56">
        <f>Schedules!J12</f>
        <v>13697.335122656177</v>
      </c>
      <c r="K47" s="56">
        <f>Schedules!K12</f>
        <v>14627.62810263055</v>
      </c>
      <c r="L47" s="56">
        <f>Schedules!L12</f>
        <v>15432.14764827523</v>
      </c>
    </row>
    <row r="48" spans="1:13" ht="15.75">
      <c r="B48" s="8" t="s">
        <v>27</v>
      </c>
      <c r="D48" s="290">
        <v>0</v>
      </c>
      <c r="E48" s="28">
        <v>98</v>
      </c>
      <c r="F48" s="28">
        <v>13</v>
      </c>
      <c r="G48" s="28">
        <v>1</v>
      </c>
      <c r="H48" s="56">
        <f>Schedules!H91</f>
        <v>0</v>
      </c>
      <c r="I48" s="56">
        <f>Schedules!I91</f>
        <v>0</v>
      </c>
      <c r="J48" s="56">
        <f>Schedules!J91</f>
        <v>0</v>
      </c>
      <c r="K48" s="56">
        <f>Schedules!K91</f>
        <v>0</v>
      </c>
      <c r="L48" s="56">
        <f>Schedules!L91</f>
        <v>0</v>
      </c>
    </row>
    <row r="49" spans="1:13" ht="15.75">
      <c r="B49" s="8" t="s">
        <v>156</v>
      </c>
      <c r="D49" s="290">
        <f>302+889+665+346</f>
        <v>2202</v>
      </c>
      <c r="E49" s="28">
        <f>314+889+764+389</f>
        <v>2356</v>
      </c>
      <c r="F49" s="28">
        <f>365+865+807+340</f>
        <v>2377</v>
      </c>
      <c r="G49" s="28">
        <f>404+1280+959+675+1903</f>
        <v>5221</v>
      </c>
      <c r="H49" s="56">
        <f>H5*0.038</f>
        <v>2518.5279</v>
      </c>
      <c r="I49" s="56">
        <f>I5*0.038</f>
        <v>2725.0471877999998</v>
      </c>
      <c r="J49" s="56">
        <f>J5*0.038</f>
        <v>2943.0509628240006</v>
      </c>
      <c r="K49" s="56">
        <f>K5*0.038</f>
        <v>3149.0645302216808</v>
      </c>
      <c r="L49" s="56">
        <f>L5*0.038</f>
        <v>3338.0084020349814</v>
      </c>
    </row>
    <row r="50" spans="1:13">
      <c r="B50" s="147" t="s">
        <v>201</v>
      </c>
      <c r="D50" s="290"/>
      <c r="E50" s="28"/>
      <c r="F50" s="28"/>
      <c r="G50" s="28"/>
      <c r="H50" s="56">
        <f>H43-SUM(H47:H49,H53:H56,H60:H62)</f>
        <v>-170.05671724729473</v>
      </c>
      <c r="I50" s="56">
        <f t="shared" ref="I50:L50" si="12">I43-SUM(I47:I49,I53:I56,I60:I62)</f>
        <v>73.289901714510052</v>
      </c>
      <c r="J50" s="56">
        <f t="shared" si="12"/>
        <v>322.17322202220384</v>
      </c>
      <c r="K50" s="56">
        <f t="shared" si="12"/>
        <v>527.54249939318106</v>
      </c>
      <c r="L50" s="56">
        <f t="shared" si="12"/>
        <v>685.87285359845555</v>
      </c>
      <c r="M50" s="124"/>
    </row>
    <row r="51" spans="1:13" s="1" customFormat="1" ht="15.75">
      <c r="A51" s="32"/>
      <c r="B51" s="9" t="s">
        <v>28</v>
      </c>
      <c r="D51" s="135"/>
      <c r="E51" s="29">
        <f>SUM(E47:E50)</f>
        <v>12028</v>
      </c>
      <c r="F51" s="29">
        <f t="shared" ref="F51:L51" si="13">SUM(F47:F50)</f>
        <v>12876</v>
      </c>
      <c r="G51" s="29">
        <f t="shared" si="13"/>
        <v>16537</v>
      </c>
      <c r="H51" s="29">
        <f>SUM(H47:H50)</f>
        <v>14025.413516999281</v>
      </c>
      <c r="I51" s="29">
        <f t="shared" si="13"/>
        <v>15467.819522172045</v>
      </c>
      <c r="J51" s="29">
        <f t="shared" si="13"/>
        <v>16962.559307502383</v>
      </c>
      <c r="K51" s="29">
        <f t="shared" si="13"/>
        <v>18304.235132245412</v>
      </c>
      <c r="L51" s="29">
        <f t="shared" si="13"/>
        <v>19456.028903908667</v>
      </c>
      <c r="M51" s="32"/>
    </row>
    <row r="52" spans="1:13" ht="15.75">
      <c r="B52" s="9"/>
      <c r="D52" s="290"/>
      <c r="E52" s="28"/>
      <c r="F52" s="28"/>
      <c r="G52" s="28"/>
      <c r="H52" s="56"/>
      <c r="I52" s="56"/>
      <c r="J52" s="56"/>
      <c r="K52" s="56"/>
      <c r="L52" s="56"/>
    </row>
    <row r="53" spans="1:13" ht="15.75">
      <c r="B53" s="8" t="s">
        <v>29</v>
      </c>
      <c r="D53" s="290"/>
      <c r="E53" s="28">
        <v>6421</v>
      </c>
      <c r="F53" s="28">
        <v>6557</v>
      </c>
      <c r="G53" s="28">
        <v>6685</v>
      </c>
      <c r="H53" s="56">
        <f>G53+H22</f>
        <v>6361.3920381234693</v>
      </c>
      <c r="I53" s="56">
        <f>H53+I22</f>
        <v>6066.1684010443378</v>
      </c>
      <c r="J53" s="56">
        <f>I53+J22</f>
        <v>5793.7049575890887</v>
      </c>
      <c r="K53" s="56">
        <f>J53+K22</f>
        <v>5538.7678885060577</v>
      </c>
      <c r="L53" s="56">
        <f>K53+L22</f>
        <v>5296.3620673163286</v>
      </c>
    </row>
    <row r="54" spans="1:13" ht="15.75">
      <c r="B54" s="8" t="s">
        <v>30</v>
      </c>
      <c r="D54" s="290"/>
      <c r="E54" s="28">
        <v>0</v>
      </c>
      <c r="F54" s="28">
        <v>0</v>
      </c>
      <c r="G54" s="28">
        <v>0</v>
      </c>
      <c r="H54" s="56">
        <f>Schedules!H172</f>
        <v>0</v>
      </c>
      <c r="I54" s="56">
        <f>Schedules!I172</f>
        <v>0</v>
      </c>
      <c r="J54" s="56">
        <f>Schedules!J172</f>
        <v>0</v>
      </c>
      <c r="K54" s="56">
        <f>Schedules!K172</f>
        <v>0</v>
      </c>
      <c r="L54" s="56">
        <f>Schedules!L172</f>
        <v>0</v>
      </c>
    </row>
    <row r="55" spans="1:13" ht="15.75">
      <c r="B55" s="8" t="s">
        <v>197</v>
      </c>
      <c r="D55" s="290"/>
      <c r="E55" s="28">
        <v>807</v>
      </c>
      <c r="F55" s="28">
        <v>1106</v>
      </c>
      <c r="G55" s="28">
        <v>1243</v>
      </c>
      <c r="H55" s="56">
        <f>Schedules!H209</f>
        <v>1180.8499999999999</v>
      </c>
      <c r="I55" s="56">
        <f>Schedules!I209</f>
        <v>1121.8074999999999</v>
      </c>
      <c r="J55" s="56">
        <f>Schedules!J209</f>
        <v>1065.7171249999999</v>
      </c>
      <c r="K55" s="56">
        <f>Schedules!K209</f>
        <v>1012.4312687499998</v>
      </c>
      <c r="L55" s="56">
        <f>Schedules!L209</f>
        <v>961.80970531249989</v>
      </c>
    </row>
    <row r="56" spans="1:13" ht="15.75">
      <c r="B56" s="8" t="s">
        <v>38</v>
      </c>
      <c r="D56" s="290">
        <f>741+357+1580+1331</f>
        <v>4009</v>
      </c>
      <c r="E56" s="28">
        <f>860+1363+1086</f>
        <v>3309</v>
      </c>
      <c r="F56" s="28">
        <f>718+1576+4243</f>
        <v>6537</v>
      </c>
      <c r="G56" s="28">
        <f>680+1528+3598</f>
        <v>5806</v>
      </c>
      <c r="H56" s="56">
        <f>G56</f>
        <v>5806</v>
      </c>
      <c r="I56" s="56">
        <f>H56</f>
        <v>5806</v>
      </c>
      <c r="J56" s="56">
        <f t="shared" ref="J56:L56" si="14">I56</f>
        <v>5806</v>
      </c>
      <c r="K56" s="56">
        <f t="shared" si="14"/>
        <v>5806</v>
      </c>
      <c r="L56" s="56">
        <f t="shared" si="14"/>
        <v>5806</v>
      </c>
    </row>
    <row r="57" spans="1:13" s="1" customFormat="1" ht="15.75">
      <c r="A57" s="32"/>
      <c r="B57" s="9" t="s">
        <v>31</v>
      </c>
      <c r="D57" s="135"/>
      <c r="E57" s="29">
        <f>SUM(E51:E56)</f>
        <v>22565</v>
      </c>
      <c r="F57" s="29">
        <f>SUM(F51:F56)</f>
        <v>27076</v>
      </c>
      <c r="G57" s="29">
        <f>SUM(G51:G56)</f>
        <v>30271</v>
      </c>
      <c r="H57" s="29">
        <f>SUM(H51:H56)</f>
        <v>27373.65555512275</v>
      </c>
      <c r="I57" s="29">
        <f t="shared" ref="I57:L57" si="15">SUM(I51:I56)</f>
        <v>28461.795423216383</v>
      </c>
      <c r="J57" s="29">
        <f t="shared" si="15"/>
        <v>29627.981390091471</v>
      </c>
      <c r="K57" s="29">
        <f t="shared" si="15"/>
        <v>30661.434289501471</v>
      </c>
      <c r="L57" s="29">
        <f t="shared" si="15"/>
        <v>31520.200676537494</v>
      </c>
      <c r="M57" s="32"/>
    </row>
    <row r="58" spans="1:13" ht="15.75">
      <c r="B58" s="9"/>
      <c r="D58" s="290"/>
      <c r="E58" s="28"/>
      <c r="F58" s="28"/>
      <c r="G58" s="28"/>
      <c r="H58" s="56"/>
      <c r="I58" s="56"/>
      <c r="J58" s="56"/>
      <c r="K58" s="56"/>
      <c r="L58" s="56"/>
    </row>
    <row r="59" spans="1:13" ht="15.75">
      <c r="B59" s="7" t="s">
        <v>32</v>
      </c>
      <c r="D59" s="290"/>
      <c r="E59" s="28"/>
      <c r="F59" s="28"/>
      <c r="G59" s="28"/>
      <c r="H59" s="56"/>
      <c r="I59" s="56"/>
      <c r="J59" s="56"/>
      <c r="K59" s="56"/>
      <c r="L59" s="56"/>
    </row>
    <row r="60" spans="1:13" ht="15.75">
      <c r="B60" s="8" t="s">
        <v>33</v>
      </c>
      <c r="D60" s="290">
        <v>235</v>
      </c>
      <c r="E60" s="28">
        <v>235</v>
      </c>
      <c r="F60" s="28">
        <v>235</v>
      </c>
      <c r="G60" s="28">
        <v>235</v>
      </c>
      <c r="H60" s="56">
        <f>Schedules!H182</f>
        <v>235</v>
      </c>
      <c r="I60" s="56">
        <f>Schedules!I182</f>
        <v>235</v>
      </c>
      <c r="J60" s="56">
        <f>Schedules!J182</f>
        <v>235</v>
      </c>
      <c r="K60" s="56">
        <f>Schedules!K182</f>
        <v>235</v>
      </c>
      <c r="L60" s="56">
        <f>Schedules!L182</f>
        <v>235</v>
      </c>
    </row>
    <row r="61" spans="1:13" ht="15.75">
      <c r="B61" s="8" t="s">
        <v>34</v>
      </c>
      <c r="E61" s="28">
        <v>50069</v>
      </c>
      <c r="F61" s="28">
        <v>50983</v>
      </c>
      <c r="G61" s="28">
        <v>49167</v>
      </c>
      <c r="H61" s="56">
        <f>Schedules!H188</f>
        <v>50030.06498942848</v>
      </c>
      <c r="I61" s="56">
        <f>Schedules!I188</f>
        <v>50980.67698663495</v>
      </c>
      <c r="J61" s="56">
        <f>Schedules!J188</f>
        <v>52037.862294039638</v>
      </c>
      <c r="K61" s="56">
        <f>Schedules!K188</f>
        <v>53198.707530283704</v>
      </c>
      <c r="L61" s="56">
        <f>Schedules!L188</f>
        <v>54452.675734395627</v>
      </c>
    </row>
    <row r="62" spans="1:13" ht="15.75">
      <c r="B62" s="8" t="s">
        <v>39</v>
      </c>
      <c r="E62" s="28">
        <v>218</v>
      </c>
      <c r="F62" s="28">
        <v>205</v>
      </c>
      <c r="G62" s="28">
        <v>207</v>
      </c>
      <c r="H62" s="56">
        <f>Schedules!H194</f>
        <v>246.27239100035925</v>
      </c>
      <c r="I62" s="56">
        <f>Schedules!I194</f>
        <v>287.77086569683649</v>
      </c>
      <c r="J62" s="56">
        <f>Schedules!J194</f>
        <v>331.58048185962753</v>
      </c>
      <c r="K62" s="56">
        <f>Schedules!K194</f>
        <v>377.79317478889914</v>
      </c>
      <c r="L62" s="56">
        <f>Schedules!L194</f>
        <v>426.50783872714123</v>
      </c>
    </row>
    <row r="63" spans="1:13" s="1" customFormat="1" ht="15.75">
      <c r="A63" s="32"/>
      <c r="B63" s="9" t="s">
        <v>35</v>
      </c>
      <c r="D63" s="17"/>
      <c r="E63" s="29">
        <f>SUM(E60:E62)</f>
        <v>50522</v>
      </c>
      <c r="F63" s="29">
        <f>SUM(F60:F62)</f>
        <v>51423</v>
      </c>
      <c r="G63" s="29">
        <f>SUM(G60:G62)</f>
        <v>49609</v>
      </c>
      <c r="H63" s="29">
        <f>SUM(H60:H62)</f>
        <v>50511.337380428842</v>
      </c>
      <c r="I63" s="29">
        <f t="shared" ref="I63:L63" si="16">SUM(I60:I62)</f>
        <v>51503.447852331788</v>
      </c>
      <c r="J63" s="29">
        <f t="shared" si="16"/>
        <v>52604.442775899268</v>
      </c>
      <c r="K63" s="29">
        <f t="shared" si="16"/>
        <v>53811.500705072605</v>
      </c>
      <c r="L63" s="29">
        <f t="shared" si="16"/>
        <v>55114.183573122769</v>
      </c>
      <c r="M63" s="32"/>
    </row>
    <row r="64" spans="1:13" ht="15.75">
      <c r="B64" s="9"/>
      <c r="E64" s="28"/>
      <c r="F64" s="28"/>
      <c r="G64" s="28"/>
      <c r="H64" s="56"/>
      <c r="I64" s="56"/>
      <c r="J64" s="56"/>
      <c r="K64" s="56"/>
      <c r="L64" s="56"/>
    </row>
    <row r="65" spans="1:25" s="1" customFormat="1" ht="15.75">
      <c r="A65" s="32"/>
      <c r="B65" s="12" t="s">
        <v>36</v>
      </c>
      <c r="D65" s="17"/>
      <c r="E65" s="29">
        <f>E57+E63</f>
        <v>73087</v>
      </c>
      <c r="F65" s="29">
        <f>F57+F63</f>
        <v>78499</v>
      </c>
      <c r="G65" s="29">
        <f>G57+G63</f>
        <v>79880</v>
      </c>
      <c r="H65" s="29">
        <f>H57+H63</f>
        <v>77884.992935551592</v>
      </c>
      <c r="I65" s="29">
        <f t="shared" ref="I65:L65" si="17">I57+I63</f>
        <v>79965.243275548171</v>
      </c>
      <c r="J65" s="29">
        <f t="shared" si="17"/>
        <v>82232.424165990742</v>
      </c>
      <c r="K65" s="29">
        <f t="shared" si="17"/>
        <v>84472.934994574083</v>
      </c>
      <c r="L65" s="29">
        <f t="shared" si="17"/>
        <v>86634.384249660259</v>
      </c>
      <c r="M65" s="32"/>
      <c r="N65"/>
      <c r="O65"/>
      <c r="P65"/>
      <c r="Q65"/>
      <c r="R65"/>
      <c r="S65"/>
      <c r="T65"/>
      <c r="U65"/>
      <c r="V65"/>
      <c r="W65"/>
      <c r="X65"/>
      <c r="Y65"/>
    </row>
    <row r="67" spans="1:25" ht="26.25">
      <c r="A67" s="124" t="s">
        <v>76</v>
      </c>
      <c r="B67" s="26" t="s">
        <v>41</v>
      </c>
      <c r="C67" s="27"/>
      <c r="D67" s="27"/>
      <c r="E67" s="27"/>
      <c r="F67" s="27"/>
      <c r="G67" s="58"/>
      <c r="H67" s="27"/>
      <c r="I67" s="27"/>
      <c r="J67" s="27"/>
      <c r="K67" s="27"/>
      <c r="L67" s="27"/>
    </row>
    <row r="68" spans="1:25" ht="26.25">
      <c r="B68" s="24" t="str">
        <f t="shared" ref="B68:L68" si="18">B29</f>
        <v>Particulars</v>
      </c>
      <c r="C68" s="25" t="str">
        <f t="shared" si="18"/>
        <v xml:space="preserve"> </v>
      </c>
      <c r="D68" s="25" t="str">
        <f t="shared" si="18"/>
        <v xml:space="preserve"> </v>
      </c>
      <c r="E68" s="55">
        <f t="shared" si="18"/>
        <v>2023</v>
      </c>
      <c r="F68" s="55">
        <f t="shared" si="18"/>
        <v>2024</v>
      </c>
      <c r="G68" s="55">
        <f t="shared" si="18"/>
        <v>2025</v>
      </c>
      <c r="H68" s="103">
        <f t="shared" si="18"/>
        <v>2026</v>
      </c>
      <c r="I68" s="103">
        <f t="shared" si="18"/>
        <v>2027</v>
      </c>
      <c r="J68" s="103">
        <f t="shared" si="18"/>
        <v>2028</v>
      </c>
      <c r="K68" s="103">
        <f t="shared" si="18"/>
        <v>2029</v>
      </c>
      <c r="L68" s="103">
        <f t="shared" si="18"/>
        <v>2030</v>
      </c>
    </row>
    <row r="69" spans="1:25">
      <c r="A69"/>
      <c r="D69"/>
      <c r="M69"/>
    </row>
    <row r="70" spans="1:25" ht="15.75">
      <c r="B70" s="141" t="s">
        <v>42</v>
      </c>
      <c r="C70" s="56"/>
      <c r="D70" s="31"/>
      <c r="E70" s="56"/>
      <c r="F70" s="56"/>
      <c r="G70" s="56"/>
      <c r="H70" s="56"/>
      <c r="I70" s="56"/>
      <c r="J70" s="56"/>
      <c r="K70" s="56"/>
      <c r="L70" s="56"/>
    </row>
    <row r="71" spans="1:25" ht="15.75">
      <c r="B71" s="142" t="s">
        <v>14</v>
      </c>
      <c r="C71" s="56"/>
      <c r="D71" s="31"/>
      <c r="E71" s="28">
        <f t="shared" ref="E71:L71" si="19">E25</f>
        <v>10143</v>
      </c>
      <c r="F71" s="28">
        <f t="shared" si="19"/>
        <v>10282</v>
      </c>
      <c r="G71" s="28">
        <f t="shared" si="19"/>
        <v>10671</v>
      </c>
      <c r="H71" s="56">
        <f t="shared" si="19"/>
        <v>10788.312367856039</v>
      </c>
      <c r="I71" s="56">
        <f t="shared" si="19"/>
        <v>11882.649965080844</v>
      </c>
      <c r="J71" s="56">
        <f t="shared" si="19"/>
        <v>13214.816342558534</v>
      </c>
      <c r="K71" s="56">
        <f t="shared" si="19"/>
        <v>14510.565453050825</v>
      </c>
      <c r="L71" s="56">
        <f t="shared" si="19"/>
        <v>15674.602551399112</v>
      </c>
    </row>
    <row r="72" spans="1:25" ht="15.75">
      <c r="B72" s="142" t="s">
        <v>29</v>
      </c>
      <c r="C72" s="56"/>
      <c r="D72" s="31"/>
      <c r="E72" s="28">
        <f t="shared" ref="E72:L72" si="20">E22*-1</f>
        <v>200</v>
      </c>
      <c r="F72" s="28">
        <f t="shared" si="20"/>
        <v>123</v>
      </c>
      <c r="G72" s="28">
        <f t="shared" si="20"/>
        <v>124</v>
      </c>
      <c r="H72" s="56">
        <f t="shared" si="20"/>
        <v>323.60796187653023</v>
      </c>
      <c r="I72" s="56">
        <f t="shared" si="20"/>
        <v>295.22363707913155</v>
      </c>
      <c r="J72" s="56">
        <f t="shared" si="20"/>
        <v>272.46344345524903</v>
      </c>
      <c r="K72" s="56">
        <f t="shared" si="20"/>
        <v>254.93706908303102</v>
      </c>
      <c r="L72" s="56">
        <f t="shared" si="20"/>
        <v>242.40582118972907</v>
      </c>
    </row>
    <row r="73" spans="1:25" ht="15.75">
      <c r="B73" s="142" t="s">
        <v>8</v>
      </c>
      <c r="C73" s="56"/>
      <c r="D73" s="31"/>
      <c r="E73" s="28">
        <v>1152</v>
      </c>
      <c r="F73" s="28">
        <v>1216</v>
      </c>
      <c r="G73" s="28">
        <v>1363</v>
      </c>
      <c r="H73" s="56">
        <f>H13*-1</f>
        <v>1354.0031397174255</v>
      </c>
      <c r="I73" s="56">
        <f>I13*-1</f>
        <v>1456.1106397174256</v>
      </c>
      <c r="J73" s="56">
        <f>J13*-1</f>
        <v>1566.5909547174256</v>
      </c>
      <c r="K73" s="56">
        <f>K13*-1</f>
        <v>1685.9096949174254</v>
      </c>
      <c r="L73" s="56">
        <f>L13*-1</f>
        <v>1813.5807469314254</v>
      </c>
    </row>
    <row r="74" spans="1:25">
      <c r="B74" s="33" t="s">
        <v>194</v>
      </c>
      <c r="C74" s="56"/>
      <c r="D74" s="31"/>
      <c r="E74" s="28">
        <v>0</v>
      </c>
      <c r="F74" s="28">
        <v>0</v>
      </c>
      <c r="G74" s="28">
        <v>0</v>
      </c>
      <c r="H74" s="56">
        <f>H49-G49</f>
        <v>-2702.4721</v>
      </c>
      <c r="I74" s="56">
        <f>I49-H49</f>
        <v>206.5192877999998</v>
      </c>
      <c r="J74" s="56">
        <f>J49-I49</f>
        <v>218.00377502400079</v>
      </c>
      <c r="K74" s="56">
        <f>K49-J49</f>
        <v>206.01356739768016</v>
      </c>
      <c r="L74" s="56">
        <f>L49-K49</f>
        <v>188.94387181330058</v>
      </c>
    </row>
    <row r="75" spans="1:25">
      <c r="A75" s="32"/>
      <c r="B75" s="143" t="s">
        <v>78</v>
      </c>
      <c r="C75" s="56"/>
      <c r="D75" s="31"/>
      <c r="E75" s="28">
        <f>-100-2-411-2-99+114+1-60-1+2+184-27-8</f>
        <v>-409</v>
      </c>
      <c r="F75" s="28">
        <f>18-132-546-3-249+317-159-1+4+167-11-10</f>
        <v>-605</v>
      </c>
      <c r="G75" s="28">
        <f>43+120-755-256+372-559-1+8+189+24+11+4</f>
        <v>-800</v>
      </c>
      <c r="H75" s="56">
        <v>0</v>
      </c>
      <c r="I75" s="56">
        <v>0</v>
      </c>
      <c r="J75" s="56">
        <v>0</v>
      </c>
      <c r="K75" s="56">
        <v>0</v>
      </c>
      <c r="L75" s="56">
        <v>0</v>
      </c>
    </row>
    <row r="76" spans="1:25">
      <c r="A76" s="32"/>
      <c r="B76" s="144" t="s">
        <v>79</v>
      </c>
      <c r="C76" s="56"/>
      <c r="D76" s="31"/>
      <c r="E76" s="28">
        <f>(622-ABS(E80))+(-(1111-ABS(E78)-ABS(E79)))</f>
        <v>3</v>
      </c>
      <c r="F76" s="28">
        <f>(921-ABS(F80))+((220-ABS(F78)-ABS(F79)))</f>
        <v>-82</v>
      </c>
      <c r="G76" s="28">
        <f>(1442-ABS(G80))+(-(1275-ABS(G78)-ABS(G79)))</f>
        <v>553</v>
      </c>
      <c r="H76" s="56">
        <v>0</v>
      </c>
      <c r="I76" s="56">
        <v>0</v>
      </c>
      <c r="J76" s="56">
        <v>0</v>
      </c>
      <c r="K76" s="56">
        <v>0</v>
      </c>
      <c r="L76" s="56">
        <v>0</v>
      </c>
    </row>
    <row r="77" spans="1:25">
      <c r="A77" s="32"/>
      <c r="B77" s="143" t="s">
        <v>40</v>
      </c>
      <c r="C77" s="56"/>
      <c r="D77" s="31"/>
      <c r="E77" s="28">
        <f>-14-339-116+(3001-3138)</f>
        <v>-606</v>
      </c>
      <c r="F77" s="28">
        <f>-30+74+128+(3521-381)</f>
        <v>3312</v>
      </c>
      <c r="G77" s="28">
        <f>-87-584-284+(3620-2268)</f>
        <v>397</v>
      </c>
      <c r="H77" s="56">
        <v>0</v>
      </c>
      <c r="I77" s="56">
        <v>0</v>
      </c>
      <c r="J77" s="56">
        <v>0</v>
      </c>
      <c r="K77" s="56">
        <v>0</v>
      </c>
      <c r="L77" s="56">
        <v>0</v>
      </c>
    </row>
    <row r="78" spans="1:25" ht="15.75">
      <c r="B78" s="145" t="s">
        <v>43</v>
      </c>
      <c r="C78" s="56"/>
      <c r="D78" s="31"/>
      <c r="E78" s="28">
        <f>Schedules!E15</f>
        <v>-843</v>
      </c>
      <c r="F78" s="28">
        <f>Schedules!F15</f>
        <v>82</v>
      </c>
      <c r="G78" s="28">
        <f>Schedules!G15</f>
        <v>-822</v>
      </c>
      <c r="H78" s="56">
        <f>Schedules!H15</f>
        <v>5.7998630136985412</v>
      </c>
      <c r="I78" s="56">
        <f>Schedules!I15</f>
        <v>-312.68241123287635</v>
      </c>
      <c r="J78" s="56">
        <f>Schedules!J15</f>
        <v>-317.89586846934799</v>
      </c>
      <c r="K78" s="56">
        <f>Schedules!K15</f>
        <v>-324.09145603355773</v>
      </c>
      <c r="L78" s="56">
        <f>Schedules!L15</f>
        <v>-286.07219236332458</v>
      </c>
    </row>
    <row r="79" spans="1:25" ht="15.75">
      <c r="B79" s="145" t="s">
        <v>44</v>
      </c>
      <c r="C79" s="56"/>
      <c r="D79" s="31"/>
      <c r="E79" s="28">
        <f>Schedules!E16</f>
        <v>-155</v>
      </c>
      <c r="F79" s="28">
        <f>Schedules!F16</f>
        <v>229</v>
      </c>
      <c r="G79" s="28">
        <f>Schedules!G16</f>
        <v>-393</v>
      </c>
      <c r="H79" s="56">
        <f>Schedules!H16</f>
        <v>-106.52278356164425</v>
      </c>
      <c r="I79" s="56">
        <f>Schedules!I16</f>
        <v>-384.32943660273941</v>
      </c>
      <c r="J79" s="56">
        <f>Schedules!J16</f>
        <v>-307.31263995102745</v>
      </c>
      <c r="K79" s="56">
        <f>Schedules!K16</f>
        <v>-354.06673118427534</v>
      </c>
      <c r="L79" s="56">
        <f>Schedules!L16</f>
        <v>-306.19773752148285</v>
      </c>
    </row>
    <row r="80" spans="1:25" ht="15.75">
      <c r="B80" s="145" t="s">
        <v>45</v>
      </c>
      <c r="C80" s="56"/>
      <c r="D80" s="31"/>
      <c r="E80" s="28">
        <f>Schedules!E17</f>
        <v>506</v>
      </c>
      <c r="F80" s="28">
        <f>Schedules!F17</f>
        <v>912</v>
      </c>
      <c r="G80" s="28">
        <f>Schedules!G17</f>
        <v>829</v>
      </c>
      <c r="H80" s="56">
        <f>Schedules!H17</f>
        <v>361.94233424657614</v>
      </c>
      <c r="I80" s="56">
        <f>Schedules!I17</f>
        <v>992.54009841095831</v>
      </c>
      <c r="J80" s="56">
        <f>Schedules!J17</f>
        <v>1027.8526899986427</v>
      </c>
      <c r="K80" s="56">
        <f>Schedules!K17</f>
        <v>930.29297997437243</v>
      </c>
      <c r="L80" s="56">
        <f>Schedules!L17</f>
        <v>804.51954564467997</v>
      </c>
    </row>
    <row r="81" spans="2:12" ht="15.75">
      <c r="B81" s="142" t="s">
        <v>46</v>
      </c>
      <c r="C81" s="56"/>
      <c r="D81" s="31"/>
      <c r="E81" s="30">
        <f t="shared" ref="E81:L81" si="21">SUM(E71:E80)</f>
        <v>9991</v>
      </c>
      <c r="F81" s="30">
        <f t="shared" si="21"/>
        <v>15469</v>
      </c>
      <c r="G81" s="30">
        <f t="shared" si="21"/>
        <v>11922</v>
      </c>
      <c r="H81" s="56">
        <f t="shared" si="21"/>
        <v>10024.670783148626</v>
      </c>
      <c r="I81" s="56">
        <f t="shared" si="21"/>
        <v>14136.031780252746</v>
      </c>
      <c r="J81" s="56">
        <f t="shared" si="21"/>
        <v>15674.518697333477</v>
      </c>
      <c r="K81" s="56">
        <f t="shared" si="21"/>
        <v>16909.560577205499</v>
      </c>
      <c r="L81" s="56">
        <f t="shared" si="21"/>
        <v>18131.782607093439</v>
      </c>
    </row>
    <row r="82" spans="2:12" ht="15.75">
      <c r="B82" s="146"/>
      <c r="C82" s="56"/>
      <c r="D82" s="31"/>
      <c r="E82" s="28"/>
      <c r="F82" s="28"/>
      <c r="G82" s="28"/>
      <c r="H82" s="56"/>
      <c r="I82" s="56"/>
      <c r="J82" s="56"/>
      <c r="K82" s="56"/>
      <c r="L82" s="56"/>
    </row>
    <row r="83" spans="2:12" ht="15.75">
      <c r="B83" s="141" t="s">
        <v>48</v>
      </c>
      <c r="C83" s="56"/>
      <c r="D83" s="31"/>
      <c r="E83" s="28"/>
      <c r="F83" s="28"/>
      <c r="G83" s="28"/>
      <c r="H83" s="56"/>
      <c r="I83" s="56"/>
      <c r="J83" s="56"/>
      <c r="K83" s="56"/>
      <c r="L83" s="56"/>
    </row>
    <row r="84" spans="2:12" ht="15.75">
      <c r="B84" s="142" t="s">
        <v>49</v>
      </c>
      <c r="C84" s="56"/>
      <c r="D84" s="31"/>
      <c r="E84" s="28">
        <f>-1174-18+121+60</f>
        <v>-1011</v>
      </c>
      <c r="F84" s="28">
        <f>-1468-9+20</f>
        <v>-1457</v>
      </c>
      <c r="G84" s="28">
        <f>-1254-21+13+595</f>
        <v>-667</v>
      </c>
      <c r="H84" s="56">
        <f>Assumptions!H38*-1</f>
        <v>-1458.0951</v>
      </c>
      <c r="I84" s="56">
        <f>Assumptions!I38*-1</f>
        <v>-1577.6588981999998</v>
      </c>
      <c r="J84" s="56">
        <f>Assumptions!J38*-1</f>
        <v>-1703.8716100560002</v>
      </c>
      <c r="K84" s="56">
        <f>Assumptions!K38*-1</f>
        <v>-1823.1426227599204</v>
      </c>
      <c r="L84" s="56">
        <f>Assumptions!L38*-1</f>
        <v>-1932.5311801255157</v>
      </c>
    </row>
    <row r="85" spans="2:12">
      <c r="B85" s="143" t="s">
        <v>80</v>
      </c>
      <c r="C85" s="56"/>
      <c r="D85" s="31"/>
      <c r="E85" s="28">
        <f>-264-2-70-40-22649+23462</f>
        <v>437</v>
      </c>
      <c r="F85" s="28">
        <f>-4-21337+19846</f>
        <v>-1495</v>
      </c>
      <c r="G85" s="28">
        <f>-22957+23987</f>
        <v>1030</v>
      </c>
      <c r="H85" s="56">
        <v>0</v>
      </c>
      <c r="I85" s="56">
        <v>0</v>
      </c>
      <c r="J85" s="56">
        <v>0</v>
      </c>
      <c r="K85" s="56">
        <v>0</v>
      </c>
      <c r="L85" s="56">
        <v>0</v>
      </c>
    </row>
    <row r="86" spans="2:12">
      <c r="B86" s="143" t="s">
        <v>81</v>
      </c>
      <c r="C86" s="56"/>
      <c r="D86" s="31"/>
      <c r="E86" s="28">
        <f>-1-3668+2488+259+2</f>
        <v>-920</v>
      </c>
      <c r="F86" s="28">
        <f>1-9170+6369+425+3</f>
        <v>-2372</v>
      </c>
      <c r="G86" s="28">
        <f>-2499+7774+835</f>
        <v>6110</v>
      </c>
      <c r="H86" s="56">
        <v>0</v>
      </c>
      <c r="I86" s="56">
        <v>0</v>
      </c>
      <c r="J86" s="56">
        <v>0</v>
      </c>
      <c r="K86" s="56">
        <v>0</v>
      </c>
      <c r="L86" s="56">
        <v>0</v>
      </c>
    </row>
    <row r="87" spans="2:12" ht="15.75">
      <c r="B87" s="142" t="s">
        <v>46</v>
      </c>
      <c r="C87" s="56"/>
      <c r="D87" s="31"/>
      <c r="E87" s="30">
        <f>SUM(E84:E86)</f>
        <v>-1494</v>
      </c>
      <c r="F87" s="30">
        <f>SUM(F84:F86)</f>
        <v>-5324</v>
      </c>
      <c r="G87" s="30">
        <f>SUM(G84:G86)</f>
        <v>6473</v>
      </c>
      <c r="H87" s="30">
        <f>SUM(H84:H86)</f>
        <v>-1458.0951</v>
      </c>
      <c r="I87" s="30">
        <f t="shared" ref="I87:L87" si="22">SUM(I84:I86)</f>
        <v>-1577.6588981999998</v>
      </c>
      <c r="J87" s="30">
        <f t="shared" si="22"/>
        <v>-1703.8716100560002</v>
      </c>
      <c r="K87" s="30">
        <f t="shared" si="22"/>
        <v>-1823.1426227599204</v>
      </c>
      <c r="L87" s="30">
        <f t="shared" si="22"/>
        <v>-1932.5311801255157</v>
      </c>
    </row>
    <row r="88" spans="2:12" ht="15.75">
      <c r="B88" s="146" t="s">
        <v>47</v>
      </c>
      <c r="C88" s="56"/>
      <c r="D88" s="31"/>
      <c r="E88" s="28"/>
      <c r="F88" s="28"/>
      <c r="G88" s="28"/>
      <c r="H88" s="56"/>
      <c r="I88" s="56"/>
      <c r="J88" s="56"/>
      <c r="K88" s="56"/>
      <c r="L88" s="56"/>
    </row>
    <row r="89" spans="2:12" ht="15.75">
      <c r="B89" s="141" t="s">
        <v>50</v>
      </c>
      <c r="C89" s="56"/>
      <c r="D89" s="31"/>
      <c r="E89" s="28"/>
      <c r="F89" s="28"/>
      <c r="G89" s="28"/>
      <c r="H89" s="56"/>
      <c r="I89" s="56"/>
      <c r="J89" s="56"/>
      <c r="K89" s="56"/>
      <c r="L89" s="56"/>
    </row>
    <row r="90" spans="2:12" ht="15.75">
      <c r="B90" s="142" t="s">
        <v>82</v>
      </c>
      <c r="C90" s="56"/>
      <c r="D90" s="31"/>
      <c r="E90" s="28">
        <f>286-201-7</f>
        <v>78</v>
      </c>
      <c r="F90" s="28">
        <f>-85</f>
        <v>-85</v>
      </c>
      <c r="G90" s="28">
        <v>0</v>
      </c>
      <c r="H90" s="56">
        <v>0</v>
      </c>
      <c r="I90" s="56">
        <v>0</v>
      </c>
      <c r="J90" s="56">
        <v>0</v>
      </c>
      <c r="K90" s="56">
        <v>0</v>
      </c>
      <c r="L90" s="56">
        <v>0</v>
      </c>
    </row>
    <row r="91" spans="2:12" ht="15.75">
      <c r="B91" s="142" t="s">
        <v>193</v>
      </c>
      <c r="C91" s="56"/>
      <c r="D91" s="31"/>
      <c r="E91" s="28">
        <f>-467-84</f>
        <v>-551</v>
      </c>
      <c r="F91" s="28">
        <f>-423-106</f>
        <v>-529</v>
      </c>
      <c r="G91" s="28">
        <f>-498-127</f>
        <v>-625</v>
      </c>
      <c r="H91" s="56">
        <f>Schedules!H208</f>
        <v>-62.150000000000006</v>
      </c>
      <c r="I91" s="56">
        <f>Schedules!I208</f>
        <v>-59.042499999999997</v>
      </c>
      <c r="J91" s="56">
        <f>Schedules!J208</f>
        <v>-56.090374999999995</v>
      </c>
      <c r="K91" s="56">
        <f>Schedules!K208</f>
        <v>-53.285856249999995</v>
      </c>
      <c r="L91" s="56">
        <f>Schedules!L208</f>
        <v>-50.621563437499994</v>
      </c>
    </row>
    <row r="92" spans="2:12" ht="15.75">
      <c r="B92" s="142" t="s">
        <v>83</v>
      </c>
      <c r="C92" s="56"/>
      <c r="D92" s="31"/>
      <c r="E92" s="28">
        <f>-4-2</f>
        <v>-6</v>
      </c>
      <c r="F92" s="28">
        <v>-4</v>
      </c>
      <c r="G92" s="28">
        <v>-3</v>
      </c>
      <c r="H92" s="56">
        <v>0</v>
      </c>
      <c r="I92" s="56">
        <v>0</v>
      </c>
      <c r="J92" s="56">
        <v>0</v>
      </c>
      <c r="K92" s="56">
        <v>0</v>
      </c>
      <c r="L92" s="56">
        <v>0</v>
      </c>
    </row>
    <row r="93" spans="2:12" ht="15.75">
      <c r="B93" s="142" t="s">
        <v>53</v>
      </c>
      <c r="C93" s="56"/>
      <c r="D93" s="31"/>
      <c r="E93" s="28">
        <f>-8474</f>
        <v>-8474</v>
      </c>
      <c r="F93" s="28">
        <v>-9416</v>
      </c>
      <c r="G93" s="28">
        <v>-12473</v>
      </c>
      <c r="H93" s="56">
        <f>Schedules!H187</f>
        <v>-9925.2473784275553</v>
      </c>
      <c r="I93" s="56">
        <f>Schedules!I187</f>
        <v>-10932.037967874378</v>
      </c>
      <c r="J93" s="56">
        <f>Schedules!J187</f>
        <v>-12157.63103515385</v>
      </c>
      <c r="K93" s="56">
        <f>Schedules!K187</f>
        <v>-13349.72021680676</v>
      </c>
      <c r="L93" s="56">
        <f>Schedules!L187</f>
        <v>-14420.634347287183</v>
      </c>
    </row>
    <row r="94" spans="2:12" ht="15.75">
      <c r="B94" s="142" t="s">
        <v>51</v>
      </c>
      <c r="C94" s="56"/>
      <c r="D94" s="31"/>
      <c r="E94" s="28">
        <v>0</v>
      </c>
      <c r="F94" s="28">
        <v>0</v>
      </c>
      <c r="G94" s="28">
        <v>0</v>
      </c>
      <c r="H94" s="56">
        <f>Assumptions!H51</f>
        <v>0</v>
      </c>
      <c r="I94" s="56">
        <f>Assumptions!I51</f>
        <v>0</v>
      </c>
      <c r="J94" s="56">
        <f>Assumptions!J51</f>
        <v>0</v>
      </c>
      <c r="K94" s="56">
        <f>Assumptions!K51</f>
        <v>0</v>
      </c>
      <c r="L94" s="56">
        <f>Assumptions!L51</f>
        <v>0</v>
      </c>
    </row>
    <row r="95" spans="2:12" ht="15.75">
      <c r="B95" s="142" t="s">
        <v>52</v>
      </c>
      <c r="C95" s="56"/>
      <c r="D95" s="31"/>
      <c r="E95" s="28">
        <v>0</v>
      </c>
      <c r="F95" s="28">
        <v>0</v>
      </c>
      <c r="G95" s="28">
        <v>0</v>
      </c>
      <c r="H95" s="56">
        <f>Assumptions!H52</f>
        <v>0</v>
      </c>
      <c r="I95" s="56">
        <f>Assumptions!I52</f>
        <v>0</v>
      </c>
      <c r="J95" s="56">
        <f>Assumptions!J52</f>
        <v>0</v>
      </c>
      <c r="K95" s="56">
        <f>Assumptions!K52</f>
        <v>0</v>
      </c>
      <c r="L95" s="56">
        <f>Assumptions!L52</f>
        <v>0</v>
      </c>
    </row>
    <row r="96" spans="2:12" ht="15.75">
      <c r="B96" s="142" t="s">
        <v>46</v>
      </c>
      <c r="C96" s="56"/>
      <c r="D96" s="31"/>
      <c r="E96" s="30">
        <f>SUM(E90:E93)</f>
        <v>-8953</v>
      </c>
      <c r="F96" s="30">
        <f>SUM(F90:F93)</f>
        <v>-10034</v>
      </c>
      <c r="G96" s="30">
        <f>SUM(G90:G93)</f>
        <v>-13101</v>
      </c>
      <c r="H96" s="30">
        <f>SUM(H90:H93)</f>
        <v>-9987.3973784275549</v>
      </c>
      <c r="I96" s="30">
        <f t="shared" ref="I96:L96" si="23">SUM(I90:I93)</f>
        <v>-10991.080467874377</v>
      </c>
      <c r="J96" s="30">
        <f t="shared" si="23"/>
        <v>-12213.72141015385</v>
      </c>
      <c r="K96" s="30">
        <f t="shared" si="23"/>
        <v>-13403.00607305676</v>
      </c>
      <c r="L96" s="30">
        <f t="shared" si="23"/>
        <v>-14471.255910724683</v>
      </c>
    </row>
    <row r="97" spans="1:12" ht="15.75">
      <c r="B97" s="146" t="s">
        <v>47</v>
      </c>
      <c r="C97" s="56"/>
      <c r="D97" s="31"/>
      <c r="E97" s="56"/>
      <c r="F97" s="56"/>
      <c r="G97" s="56"/>
      <c r="H97" s="56"/>
      <c r="I97" s="56"/>
      <c r="J97" s="56"/>
      <c r="K97" s="56"/>
      <c r="L97" s="56"/>
    </row>
    <row r="98" spans="1:12" ht="15.75">
      <c r="B98" s="141" t="s">
        <v>54</v>
      </c>
      <c r="C98" s="56"/>
      <c r="D98" s="31"/>
      <c r="E98" s="30"/>
      <c r="F98" s="30"/>
      <c r="G98" s="30"/>
      <c r="H98" s="56"/>
      <c r="I98" s="56"/>
      <c r="J98" s="56"/>
      <c r="K98" s="56"/>
      <c r="L98" s="56"/>
    </row>
    <row r="99" spans="1:12" ht="15.75">
      <c r="B99" s="142" t="s">
        <v>55</v>
      </c>
      <c r="C99" s="56"/>
      <c r="D99" s="31"/>
      <c r="E99" s="30">
        <f>1147</f>
        <v>1147</v>
      </c>
      <c r="F99" s="30">
        <f>E102</f>
        <v>701</v>
      </c>
      <c r="G99" s="30">
        <f>F102</f>
        <v>812</v>
      </c>
      <c r="H99" s="30">
        <f>G102</f>
        <v>6106</v>
      </c>
      <c r="I99" s="30">
        <f t="shared" ref="I99:L99" si="24">H102</f>
        <v>4685.1783047210702</v>
      </c>
      <c r="J99" s="30">
        <f t="shared" si="24"/>
        <v>6252.4707188994398</v>
      </c>
      <c r="K99" s="30">
        <f t="shared" si="24"/>
        <v>8009.3963960230667</v>
      </c>
      <c r="L99" s="30">
        <f t="shared" si="24"/>
        <v>9692.8082774118848</v>
      </c>
    </row>
    <row r="100" spans="1:12" ht="15.75">
      <c r="B100" s="142" t="s">
        <v>56</v>
      </c>
      <c r="C100" s="56"/>
      <c r="D100" s="31"/>
      <c r="E100" s="30">
        <f>E81+E87+E96</f>
        <v>-456</v>
      </c>
      <c r="F100" s="30">
        <f>F81+F87+F96</f>
        <v>111</v>
      </c>
      <c r="G100" s="30">
        <f>G81+G87+G96</f>
        <v>5294</v>
      </c>
      <c r="H100" s="30">
        <f>H81+H87+H96</f>
        <v>-1420.8216952789298</v>
      </c>
      <c r="I100" s="30">
        <f t="shared" ref="I100:L100" si="25">I81+I87+I96</f>
        <v>1567.2924141783697</v>
      </c>
      <c r="J100" s="30">
        <f t="shared" si="25"/>
        <v>1756.9256771236269</v>
      </c>
      <c r="K100" s="30">
        <f t="shared" si="25"/>
        <v>1683.4118813888181</v>
      </c>
      <c r="L100" s="30">
        <f t="shared" si="25"/>
        <v>1727.9955162432398</v>
      </c>
    </row>
    <row r="101" spans="1:12">
      <c r="B101" s="143" t="s">
        <v>84</v>
      </c>
      <c r="C101" s="56"/>
      <c r="D101" s="31"/>
      <c r="E101" s="28">
        <v>10</v>
      </c>
      <c r="F101" s="28">
        <v>0</v>
      </c>
      <c r="G101" s="28">
        <v>0</v>
      </c>
      <c r="H101" s="30">
        <f>G101</f>
        <v>0</v>
      </c>
      <c r="I101" s="30">
        <f t="shared" ref="I101:L101" si="26">H101</f>
        <v>0</v>
      </c>
      <c r="J101" s="30">
        <f t="shared" si="26"/>
        <v>0</v>
      </c>
      <c r="K101" s="30">
        <f t="shared" si="26"/>
        <v>0</v>
      </c>
      <c r="L101" s="30">
        <f t="shared" si="26"/>
        <v>0</v>
      </c>
    </row>
    <row r="102" spans="1:12" ht="15.75">
      <c r="B102" s="142" t="s">
        <v>57</v>
      </c>
      <c r="C102" s="56"/>
      <c r="D102" s="31"/>
      <c r="E102" s="30">
        <f>SUM(E99:E101)</f>
        <v>701</v>
      </c>
      <c r="F102" s="30">
        <f>SUM(F99:F101)</f>
        <v>812</v>
      </c>
      <c r="G102" s="30">
        <f>SUM(G99:G101)</f>
        <v>6106</v>
      </c>
      <c r="H102" s="30">
        <f>SUM(H99:H101)</f>
        <v>4685.1783047210702</v>
      </c>
      <c r="I102" s="30">
        <f t="shared" ref="I102:L102" si="27">SUM(I99:I101)</f>
        <v>6252.4707188994398</v>
      </c>
      <c r="J102" s="30">
        <f t="shared" si="27"/>
        <v>8009.3963960230667</v>
      </c>
      <c r="K102" s="30">
        <f t="shared" si="27"/>
        <v>9692.8082774118848</v>
      </c>
      <c r="L102" s="30">
        <f t="shared" si="27"/>
        <v>11420.803793655125</v>
      </c>
    </row>
    <row r="104" spans="1:12" ht="26.25">
      <c r="A104" s="124" t="s">
        <v>76</v>
      </c>
      <c r="B104" s="26" t="s">
        <v>85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</row>
    <row r="106" spans="1:12" ht="15.75">
      <c r="B106" s="78" t="s">
        <v>87</v>
      </c>
      <c r="E106" s="79">
        <f>E68</f>
        <v>2023</v>
      </c>
      <c r="F106" s="79">
        <f>F68</f>
        <v>2024</v>
      </c>
      <c r="G106" s="79">
        <f>G68</f>
        <v>2025</v>
      </c>
      <c r="H106" s="79">
        <f t="shared" ref="H106:L106" si="28">H68</f>
        <v>2026</v>
      </c>
      <c r="I106" s="79">
        <f t="shared" si="28"/>
        <v>2027</v>
      </c>
      <c r="J106" s="79">
        <f t="shared" si="28"/>
        <v>2028</v>
      </c>
      <c r="K106" s="79">
        <f t="shared" si="28"/>
        <v>2029</v>
      </c>
      <c r="L106" s="79">
        <f t="shared" si="28"/>
        <v>2030</v>
      </c>
    </row>
    <row r="107" spans="1:12">
      <c r="B107" t="s">
        <v>86</v>
      </c>
      <c r="D107"/>
      <c r="E107" s="30">
        <f t="shared" ref="E107:L107" si="29">E32</f>
        <v>714</v>
      </c>
      <c r="F107" s="30">
        <f t="shared" si="29"/>
        <v>825</v>
      </c>
      <c r="G107" s="30">
        <f t="shared" si="29"/>
        <v>6071</v>
      </c>
      <c r="H107" s="30">
        <f t="shared" si="29"/>
        <v>4685.1783047210702</v>
      </c>
      <c r="I107" s="30">
        <f t="shared" si="29"/>
        <v>6252.4707188994398</v>
      </c>
      <c r="J107" s="30">
        <f t="shared" si="29"/>
        <v>8009.3963960230667</v>
      </c>
      <c r="K107" s="30">
        <f t="shared" si="29"/>
        <v>9692.8082774118848</v>
      </c>
      <c r="L107" s="30">
        <f t="shared" si="29"/>
        <v>11420.803793655125</v>
      </c>
    </row>
    <row r="108" spans="1:12">
      <c r="B108" t="s">
        <v>312</v>
      </c>
      <c r="D108"/>
      <c r="E108" s="28">
        <v>-13</v>
      </c>
      <c r="F108" s="28">
        <v>-13</v>
      </c>
      <c r="G108" s="28">
        <v>-1</v>
      </c>
      <c r="H108" s="56">
        <v>0</v>
      </c>
      <c r="I108" s="56">
        <v>0</v>
      </c>
      <c r="J108" s="56">
        <v>0</v>
      </c>
      <c r="K108" s="56">
        <v>0</v>
      </c>
      <c r="L108" s="56">
        <v>0</v>
      </c>
    </row>
    <row r="109" spans="1:12">
      <c r="B109" t="s">
        <v>57</v>
      </c>
      <c r="D109"/>
      <c r="E109" s="30">
        <f>SUM(E107:E108)</f>
        <v>701</v>
      </c>
      <c r="F109" s="30">
        <f>SUM(F107:F108)</f>
        <v>812</v>
      </c>
      <c r="G109" s="30">
        <f>SUM(G107:G108)</f>
        <v>6070</v>
      </c>
      <c r="H109" s="30">
        <f t="shared" ref="H109:L109" si="30">SUM(H107:H108)</f>
        <v>4685.1783047210702</v>
      </c>
      <c r="I109" s="30">
        <f t="shared" si="30"/>
        <v>6252.4707188994398</v>
      </c>
      <c r="J109" s="30">
        <f t="shared" si="30"/>
        <v>8009.3963960230667</v>
      </c>
      <c r="K109" s="30">
        <f t="shared" si="30"/>
        <v>9692.8082774118848</v>
      </c>
      <c r="L109" s="30">
        <f t="shared" si="30"/>
        <v>11420.803793655125</v>
      </c>
    </row>
    <row r="110" spans="1:12">
      <c r="E110" s="30"/>
    </row>
  </sheetData>
  <pageMargins left="0.40157480314960631" right="0.47244094488188981" top="0.40157480314960631" bottom="0.40157480314960631" header="0" footer="0"/>
  <pageSetup paperSize="9" scale="7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C396-21C7-6348-8B49-583638AFE51C}">
  <sheetPr>
    <pageSetUpPr fitToPage="1"/>
  </sheetPr>
  <dimension ref="A2:Z209"/>
  <sheetViews>
    <sheetView showGridLines="0" zoomScaleNormal="100" zoomScaleSheetLayoutView="100" workbookViewId="0"/>
  </sheetViews>
  <sheetFormatPr defaultRowHeight="15"/>
  <cols>
    <col min="1" max="1" width="8.42578125" style="124" customWidth="1"/>
    <col min="2" max="2" width="35.7109375" customWidth="1"/>
    <col min="3" max="3" width="12.140625" style="105" bestFit="1" customWidth="1"/>
    <col min="4" max="4" width="8.140625" customWidth="1"/>
    <col min="5" max="12" width="13.5703125" customWidth="1"/>
  </cols>
  <sheetData>
    <row r="2" spans="1:12" ht="26.25">
      <c r="A2" s="124" t="s">
        <v>76</v>
      </c>
      <c r="B2" s="26" t="s">
        <v>62</v>
      </c>
      <c r="C2" s="126"/>
      <c r="D2" s="102"/>
      <c r="E2" s="102"/>
      <c r="F2" s="102"/>
      <c r="G2" s="102"/>
      <c r="H2" s="102"/>
      <c r="I2" s="102"/>
      <c r="J2" s="102"/>
      <c r="K2" s="102"/>
      <c r="L2" s="102"/>
    </row>
    <row r="3" spans="1:12" ht="26.25">
      <c r="B3" s="24" t="str">
        <f>Assumptions!B2</f>
        <v>Particulars</v>
      </c>
      <c r="C3" s="127" t="str">
        <f>Assumptions!C2</f>
        <v xml:space="preserve"> </v>
      </c>
      <c r="D3" s="25" t="str">
        <f>Assumptions!D2</f>
        <v xml:space="preserve"> </v>
      </c>
      <c r="E3" s="55">
        <f>Assumptions!E2</f>
        <v>2023</v>
      </c>
      <c r="F3" s="55">
        <f>Assumptions!F2</f>
        <v>2024</v>
      </c>
      <c r="G3" s="55">
        <f>Assumptions!G2</f>
        <v>2025</v>
      </c>
      <c r="H3" s="103">
        <f>Assumptions!H2</f>
        <v>2026</v>
      </c>
      <c r="I3" s="103">
        <f>Assumptions!I2</f>
        <v>2027</v>
      </c>
      <c r="J3" s="103">
        <f>Assumptions!J2</f>
        <v>2028</v>
      </c>
      <c r="K3" s="103">
        <f>Assumptions!K2</f>
        <v>2029</v>
      </c>
      <c r="L3" s="103">
        <f>Assumptions!L2</f>
        <v>2030</v>
      </c>
    </row>
    <row r="4" spans="1:12">
      <c r="B4" s="4"/>
    </row>
    <row r="5" spans="1:12" ht="15.75">
      <c r="B5" s="8" t="s">
        <v>58</v>
      </c>
      <c r="D5" s="105"/>
      <c r="E5" s="107">
        <f>Assumptions!E49</f>
        <v>365</v>
      </c>
      <c r="F5" s="107">
        <f>Assumptions!F49</f>
        <v>365</v>
      </c>
      <c r="G5" s="107">
        <f>Assumptions!G49</f>
        <v>365</v>
      </c>
      <c r="H5" s="107">
        <f>Assumptions!H49</f>
        <v>365</v>
      </c>
      <c r="I5" s="107">
        <f>Assumptions!I49</f>
        <v>365</v>
      </c>
      <c r="J5" s="107">
        <f>Assumptions!J49</f>
        <v>366</v>
      </c>
      <c r="K5" s="107">
        <f>Assumptions!K49</f>
        <v>365</v>
      </c>
      <c r="L5" s="107">
        <f>Assumptions!L49</f>
        <v>365</v>
      </c>
    </row>
    <row r="6" spans="1:12" ht="15.75">
      <c r="B6" s="8" t="s">
        <v>3</v>
      </c>
      <c r="D6" s="105"/>
      <c r="E6" s="30">
        <f>Core_Model!E5</f>
        <v>60580</v>
      </c>
      <c r="F6" s="30">
        <f>Core_Model!F5</f>
        <v>61896</v>
      </c>
      <c r="G6" s="30">
        <f>Core_Model!G5</f>
        <v>63121</v>
      </c>
      <c r="H6" s="30">
        <f>Core_Model!H5</f>
        <v>66277.05</v>
      </c>
      <c r="I6" s="30">
        <f>Core_Model!I5</f>
        <v>71711.768100000001</v>
      </c>
      <c r="J6" s="30">
        <f>Core_Model!J5</f>
        <v>77448.709548000013</v>
      </c>
      <c r="K6" s="30">
        <f>Core_Model!K5</f>
        <v>82870.119216360021</v>
      </c>
      <c r="L6" s="30">
        <f>Core_Model!L5</f>
        <v>87842.326369341623</v>
      </c>
    </row>
    <row r="7" spans="1:12" ht="15.75">
      <c r="B7" s="8" t="s">
        <v>4</v>
      </c>
      <c r="D7" s="105"/>
      <c r="E7" s="30">
        <f>Core_Model!E6*-1</f>
        <v>31716</v>
      </c>
      <c r="F7" s="30">
        <f>Core_Model!F6*-1</f>
        <v>29760</v>
      </c>
      <c r="G7" s="30">
        <f>Core_Model!G6*-1</f>
        <v>30578</v>
      </c>
      <c r="H7" s="30">
        <f>Core_Model!H6*-1</f>
        <v>32045.744000000002</v>
      </c>
      <c r="I7" s="30">
        <f>Core_Model!I6*-1</f>
        <v>34769.632239999999</v>
      </c>
      <c r="J7" s="30">
        <f>Core_Model!J6*-1</f>
        <v>37412.124290240004</v>
      </c>
      <c r="K7" s="30">
        <f>Core_Model!K6*-1</f>
        <v>39843.912369105601</v>
      </c>
      <c r="L7" s="30">
        <f>Core_Model!L6*-1</f>
        <v>42035.327549406407</v>
      </c>
    </row>
    <row r="9" spans="1:12" ht="15.75">
      <c r="B9" s="15" t="s">
        <v>59</v>
      </c>
    </row>
    <row r="10" spans="1:12" ht="15.75">
      <c r="B10" s="8" t="s">
        <v>20</v>
      </c>
      <c r="D10" s="300">
        <v>2236</v>
      </c>
      <c r="E10" s="301">
        <f>Core_Model!E34</f>
        <v>3079</v>
      </c>
      <c r="F10" s="301">
        <f>Core_Model!F34</f>
        <v>2997</v>
      </c>
      <c r="G10" s="301">
        <f>Core_Model!G34</f>
        <v>3819</v>
      </c>
      <c r="H10" s="301">
        <f>(H6*H21)/H5</f>
        <v>3813.2001369863015</v>
      </c>
      <c r="I10" s="301">
        <f>(I6*I21)/I5</f>
        <v>4125.8825482191778</v>
      </c>
      <c r="J10" s="301">
        <f>(J6*J21)/J5</f>
        <v>4443.7784166885258</v>
      </c>
      <c r="K10" s="301">
        <f>(K6*K21)/K5</f>
        <v>4767.8698727220835</v>
      </c>
      <c r="L10" s="301">
        <f>(L6*L21)/L5</f>
        <v>5053.9420650854081</v>
      </c>
    </row>
    <row r="11" spans="1:12" ht="15.75">
      <c r="B11" s="8" t="s">
        <v>21</v>
      </c>
      <c r="D11" s="300">
        <v>4096</v>
      </c>
      <c r="E11" s="301">
        <f>Core_Model!E35</f>
        <v>4251</v>
      </c>
      <c r="F11" s="301">
        <f>Core_Model!F35</f>
        <v>4022</v>
      </c>
      <c r="G11" s="301">
        <f>Core_Model!G35</f>
        <v>4415</v>
      </c>
      <c r="H11" s="301">
        <f>(H7*H22)/H5</f>
        <v>4521.5227835616442</v>
      </c>
      <c r="I11" s="301">
        <f>(I7*I22)/I5</f>
        <v>4905.8522201643837</v>
      </c>
      <c r="J11" s="301">
        <f>(J7*J22)/J5</f>
        <v>5213.1648601154111</v>
      </c>
      <c r="K11" s="301">
        <f>(K7*K22)/K5</f>
        <v>5567.2315912996864</v>
      </c>
      <c r="L11" s="301">
        <f>(L7*L22)/L5</f>
        <v>5873.4293288211693</v>
      </c>
    </row>
    <row r="12" spans="1:12" ht="15.75">
      <c r="B12" s="8" t="s">
        <v>26</v>
      </c>
      <c r="D12" s="300">
        <v>9068</v>
      </c>
      <c r="E12" s="301">
        <f>Core_Model!E47</f>
        <v>9574</v>
      </c>
      <c r="F12" s="301">
        <f>Core_Model!F47</f>
        <v>10486</v>
      </c>
      <c r="G12" s="301">
        <f>Core_Model!G47</f>
        <v>11315</v>
      </c>
      <c r="H12" s="301">
        <f>(H7*H23)/H5</f>
        <v>11676.942334246576</v>
      </c>
      <c r="I12" s="301">
        <f>(I7*I23)/I5</f>
        <v>12669.482432657534</v>
      </c>
      <c r="J12" s="301">
        <f>(J7*J23)/J5</f>
        <v>13697.335122656177</v>
      </c>
      <c r="K12" s="301">
        <f>(K7*K23)/K5</f>
        <v>14627.62810263055</v>
      </c>
      <c r="L12" s="301">
        <f>(L7*L23)/L5</f>
        <v>15432.14764827523</v>
      </c>
    </row>
    <row r="13" spans="1:12" ht="16.5">
      <c r="B13" s="14"/>
    </row>
    <row r="14" spans="1:12" ht="15.75">
      <c r="B14" s="15" t="s">
        <v>60</v>
      </c>
    </row>
    <row r="15" spans="1:12" ht="15.75">
      <c r="B15" s="8" t="s">
        <v>20</v>
      </c>
      <c r="E15" s="302">
        <f t="shared" ref="E15:L16" si="0">(E10-D10)*-1</f>
        <v>-843</v>
      </c>
      <c r="F15" s="302">
        <f t="shared" si="0"/>
        <v>82</v>
      </c>
      <c r="G15" s="302">
        <f>(G10-F10)*-1</f>
        <v>-822</v>
      </c>
      <c r="H15" s="302">
        <f>(H10-G10)*-1</f>
        <v>5.7998630136985412</v>
      </c>
      <c r="I15" s="302">
        <f t="shared" si="0"/>
        <v>-312.68241123287635</v>
      </c>
      <c r="J15" s="302">
        <f t="shared" si="0"/>
        <v>-317.89586846934799</v>
      </c>
      <c r="K15" s="302">
        <f t="shared" si="0"/>
        <v>-324.09145603355773</v>
      </c>
      <c r="L15" s="302">
        <f t="shared" si="0"/>
        <v>-286.07219236332458</v>
      </c>
    </row>
    <row r="16" spans="1:12" ht="15.75">
      <c r="B16" s="8" t="s">
        <v>21</v>
      </c>
      <c r="E16" s="302">
        <f t="shared" si="0"/>
        <v>-155</v>
      </c>
      <c r="F16" s="302">
        <f t="shared" si="0"/>
        <v>229</v>
      </c>
      <c r="G16" s="302">
        <f t="shared" si="0"/>
        <v>-393</v>
      </c>
      <c r="H16" s="302">
        <f>(H11-G11)*-1</f>
        <v>-106.52278356164425</v>
      </c>
      <c r="I16" s="302">
        <f>(I11-H11)*-1</f>
        <v>-384.32943660273941</v>
      </c>
      <c r="J16" s="302">
        <f t="shared" si="0"/>
        <v>-307.31263995102745</v>
      </c>
      <c r="K16" s="302">
        <f t="shared" si="0"/>
        <v>-354.06673118427534</v>
      </c>
      <c r="L16" s="302">
        <f t="shared" si="0"/>
        <v>-306.19773752148285</v>
      </c>
    </row>
    <row r="17" spans="1:26" ht="15.75">
      <c r="B17" s="8" t="s">
        <v>26</v>
      </c>
      <c r="E17" s="302">
        <f t="shared" ref="E17:L17" si="1">E12-D12</f>
        <v>506</v>
      </c>
      <c r="F17" s="302">
        <f t="shared" si="1"/>
        <v>912</v>
      </c>
      <c r="G17" s="302">
        <f t="shared" si="1"/>
        <v>829</v>
      </c>
      <c r="H17" s="302">
        <f>H12-G12</f>
        <v>361.94233424657614</v>
      </c>
      <c r="I17" s="302">
        <f t="shared" si="1"/>
        <v>992.54009841095831</v>
      </c>
      <c r="J17" s="302">
        <f t="shared" si="1"/>
        <v>1027.8526899986427</v>
      </c>
      <c r="K17" s="302">
        <f t="shared" si="1"/>
        <v>930.29297997437243</v>
      </c>
      <c r="L17" s="302">
        <f t="shared" si="1"/>
        <v>804.51954564467997</v>
      </c>
    </row>
    <row r="18" spans="1:26" ht="15.75">
      <c r="B18" s="8" t="s">
        <v>61</v>
      </c>
      <c r="E18" s="348">
        <f t="shared" ref="E18:L18" si="2">SUM(E15:E17)</f>
        <v>-492</v>
      </c>
      <c r="F18" s="348">
        <f t="shared" si="2"/>
        <v>1223</v>
      </c>
      <c r="G18" s="348">
        <f t="shared" si="2"/>
        <v>-386</v>
      </c>
      <c r="H18" s="348">
        <f t="shared" si="2"/>
        <v>261.21941369863043</v>
      </c>
      <c r="I18" s="348">
        <f t="shared" si="2"/>
        <v>295.52825057534255</v>
      </c>
      <c r="J18" s="348">
        <f t="shared" si="2"/>
        <v>402.64418157826731</v>
      </c>
      <c r="K18" s="348">
        <f t="shared" si="2"/>
        <v>252.13479275653935</v>
      </c>
      <c r="L18" s="348">
        <f t="shared" si="2"/>
        <v>212.24961575987254</v>
      </c>
    </row>
    <row r="19" spans="1:26" ht="16.5">
      <c r="B19" s="14"/>
      <c r="D19" s="105"/>
      <c r="E19" s="105"/>
      <c r="F19" s="105"/>
      <c r="G19" s="105"/>
    </row>
    <row r="20" spans="1:26" ht="15.75">
      <c r="B20" s="12" t="s">
        <v>313</v>
      </c>
      <c r="D20" s="105"/>
      <c r="E20" s="105"/>
      <c r="F20" s="105"/>
      <c r="G20" s="105"/>
    </row>
    <row r="21" spans="1:26" ht="15.75">
      <c r="B21" s="8" t="s">
        <v>20</v>
      </c>
      <c r="D21" s="105"/>
      <c r="H21" s="106">
        <f>Assumptions!H23</f>
        <v>21</v>
      </c>
      <c r="I21" s="106">
        <f>Assumptions!I23</f>
        <v>21</v>
      </c>
      <c r="J21" s="106">
        <f>Assumptions!J23</f>
        <v>21</v>
      </c>
      <c r="K21" s="106">
        <f>Assumptions!K23</f>
        <v>21</v>
      </c>
      <c r="L21" s="106">
        <f>Assumptions!L23</f>
        <v>21</v>
      </c>
    </row>
    <row r="22" spans="1:26" ht="15.75">
      <c r="B22" s="8" t="s">
        <v>21</v>
      </c>
      <c r="D22" s="105"/>
      <c r="H22" s="106">
        <f>Assumptions!H28</f>
        <v>51.5</v>
      </c>
      <c r="I22" s="106">
        <f>Assumptions!I28</f>
        <v>51.5</v>
      </c>
      <c r="J22" s="106">
        <f>Assumptions!J28</f>
        <v>51</v>
      </c>
      <c r="K22" s="106">
        <f>Assumptions!K28</f>
        <v>51</v>
      </c>
      <c r="L22" s="106">
        <f>Assumptions!L28</f>
        <v>51</v>
      </c>
    </row>
    <row r="23" spans="1:26" ht="15.75">
      <c r="B23" s="8" t="s">
        <v>26</v>
      </c>
      <c r="D23" s="105"/>
      <c r="H23" s="106">
        <f>Assumptions!H33</f>
        <v>133</v>
      </c>
      <c r="I23" s="106">
        <f>Assumptions!I33</f>
        <v>133</v>
      </c>
      <c r="J23" s="106">
        <f>Assumptions!J33</f>
        <v>134</v>
      </c>
      <c r="K23" s="106">
        <f>Assumptions!K33</f>
        <v>134</v>
      </c>
      <c r="L23" s="106">
        <f>Assumptions!L33</f>
        <v>134</v>
      </c>
    </row>
    <row r="25" spans="1:26" ht="26.25">
      <c r="A25" s="124" t="s">
        <v>76</v>
      </c>
      <c r="B25" s="26" t="s">
        <v>107</v>
      </c>
      <c r="C25" s="126"/>
      <c r="D25" s="102"/>
      <c r="E25" s="102"/>
      <c r="F25" s="102"/>
      <c r="G25" s="102"/>
      <c r="H25" s="102"/>
      <c r="I25" s="102"/>
      <c r="J25" s="102"/>
      <c r="K25" s="102"/>
      <c r="L25" s="102"/>
    </row>
    <row r="26" spans="1:26" ht="26.25">
      <c r="B26" s="24" t="str">
        <f>B3</f>
        <v>Particulars</v>
      </c>
      <c r="C26" s="127" t="str">
        <f>C3</f>
        <v xml:space="preserve"> </v>
      </c>
      <c r="D26" s="25" t="str">
        <f>D3</f>
        <v xml:space="preserve"> </v>
      </c>
      <c r="E26" s="35"/>
      <c r="F26" s="35"/>
      <c r="G26" s="35"/>
      <c r="H26" s="103">
        <f>H3</f>
        <v>2026</v>
      </c>
      <c r="I26" s="103">
        <f>I3</f>
        <v>2027</v>
      </c>
      <c r="J26" s="103">
        <f>J3</f>
        <v>2028</v>
      </c>
      <c r="K26" s="103">
        <f>K3</f>
        <v>2029</v>
      </c>
      <c r="L26" s="103">
        <f>L3</f>
        <v>2030</v>
      </c>
    </row>
    <row r="27" spans="1:26" ht="15.75">
      <c r="B27" s="83"/>
      <c r="C27" s="125"/>
      <c r="D27" s="19"/>
      <c r="E27" s="19"/>
      <c r="F27" s="19"/>
      <c r="G27" s="19"/>
      <c r="H27" s="84"/>
      <c r="I27" s="84"/>
      <c r="J27" s="84"/>
      <c r="K27" s="84"/>
      <c r="L27" s="84"/>
      <c r="M27" s="84"/>
    </row>
    <row r="28" spans="1:26" ht="15.75">
      <c r="B28" s="85" t="s">
        <v>108</v>
      </c>
      <c r="C28" s="125"/>
      <c r="D28" s="19"/>
      <c r="E28" s="19"/>
      <c r="F28" s="86"/>
      <c r="G28" s="86"/>
      <c r="H28" s="303">
        <f>Assumptions!H38</f>
        <v>1458.0951</v>
      </c>
      <c r="I28" s="304">
        <f>Assumptions!I38</f>
        <v>1577.6588981999998</v>
      </c>
      <c r="J28" s="304">
        <f>Assumptions!J38</f>
        <v>1703.8716100560002</v>
      </c>
      <c r="K28" s="304">
        <f>Assumptions!K38</f>
        <v>1823.1426227599204</v>
      </c>
      <c r="L28" s="305">
        <f>Assumptions!L38</f>
        <v>1932.5311801255157</v>
      </c>
      <c r="Z28" s="20"/>
    </row>
    <row r="29" spans="1:26" ht="15.75">
      <c r="B29" s="87"/>
      <c r="C29" s="125"/>
      <c r="D29" s="19"/>
      <c r="E29" s="19"/>
      <c r="F29" s="86"/>
      <c r="G29" s="86"/>
      <c r="H29" s="86"/>
      <c r="I29" s="21"/>
      <c r="J29" s="21"/>
      <c r="K29" s="21"/>
      <c r="L29" s="21"/>
      <c r="M29" s="21"/>
      <c r="Z29" s="20"/>
    </row>
    <row r="30" spans="1:26" ht="15.75">
      <c r="B30" s="83"/>
      <c r="C30" s="125"/>
      <c r="D30" s="19"/>
      <c r="E30" s="19"/>
      <c r="F30" s="19"/>
      <c r="G30" s="19"/>
      <c r="H30" s="19"/>
      <c r="I30" s="20"/>
      <c r="J30" s="20"/>
      <c r="K30" s="20"/>
      <c r="L30" s="20"/>
      <c r="M30" s="20"/>
    </row>
    <row r="31" spans="1:26" ht="21">
      <c r="B31" s="88" t="s">
        <v>109</v>
      </c>
      <c r="C31" s="128"/>
      <c r="D31" s="22"/>
      <c r="E31" s="19"/>
      <c r="F31" s="19"/>
      <c r="G31" s="19"/>
      <c r="H31" s="90" t="s">
        <v>110</v>
      </c>
      <c r="I31" s="91"/>
      <c r="J31" s="91"/>
      <c r="K31" s="91"/>
      <c r="L31" s="92"/>
    </row>
    <row r="32" spans="1:26" ht="15.75">
      <c r="B32" s="309" t="s">
        <v>111</v>
      </c>
      <c r="C32" s="310" t="s">
        <v>96</v>
      </c>
      <c r="D32" s="311">
        <f>Assumptions!D71</f>
        <v>6.37</v>
      </c>
      <c r="E32" s="19"/>
      <c r="F32" s="93"/>
      <c r="G32" s="19"/>
      <c r="H32" s="94">
        <v>1</v>
      </c>
      <c r="I32" s="94">
        <f>H32+1</f>
        <v>2</v>
      </c>
      <c r="J32" s="94">
        <f>I32+1</f>
        <v>3</v>
      </c>
      <c r="K32" s="94">
        <f>J32+1</f>
        <v>4</v>
      </c>
      <c r="L32" s="94">
        <f>K32+1</f>
        <v>5</v>
      </c>
    </row>
    <row r="33" spans="2:13" ht="15.75">
      <c r="B33" s="312" t="s">
        <v>112</v>
      </c>
      <c r="C33" s="313" t="str">
        <f>CONCATENATE("(End of ",G26,")")</f>
        <v>(End of )</v>
      </c>
      <c r="D33" s="314">
        <f>Core_Model!G42-1009</f>
        <v>8625</v>
      </c>
      <c r="E33" s="19"/>
      <c r="F33" s="93"/>
      <c r="G33" s="122"/>
      <c r="H33" s="306">
        <f>MIN($D32-SUM($G33:G33),1)</f>
        <v>1</v>
      </c>
      <c r="I33" s="307">
        <f>MIN($D32-SUM($G33:H33),1)</f>
        <v>1</v>
      </c>
      <c r="J33" s="307">
        <f>MIN($D32-SUM($G33:I33),1)</f>
        <v>1</v>
      </c>
      <c r="K33" s="307">
        <f>MIN($D32-SUM($G33:J33),1)</f>
        <v>1</v>
      </c>
      <c r="L33" s="308">
        <f>MIN($D32-SUM($G33:K33),1)</f>
        <v>1</v>
      </c>
    </row>
    <row r="34" spans="2:13" ht="21">
      <c r="B34" s="34"/>
      <c r="C34" s="128"/>
      <c r="D34" s="95"/>
      <c r="E34" s="19"/>
      <c r="F34" s="19"/>
      <c r="G34" s="19"/>
      <c r="H34" s="19"/>
      <c r="I34" s="96"/>
      <c r="J34" s="96"/>
      <c r="K34" s="96"/>
      <c r="L34" s="96"/>
      <c r="M34" s="96"/>
    </row>
    <row r="35" spans="2:13" ht="21">
      <c r="B35" s="34"/>
      <c r="C35" s="128"/>
      <c r="D35" s="89"/>
      <c r="E35" s="19"/>
      <c r="F35" s="19"/>
      <c r="G35" s="19"/>
      <c r="H35" s="19"/>
      <c r="I35" s="96"/>
      <c r="J35" s="96"/>
      <c r="K35" s="96"/>
      <c r="L35" s="96"/>
      <c r="M35" s="96"/>
    </row>
    <row r="36" spans="2:13" ht="21">
      <c r="B36" s="83"/>
      <c r="C36" s="128"/>
      <c r="D36" s="18"/>
      <c r="E36" s="19"/>
      <c r="F36" s="19"/>
      <c r="G36" s="19"/>
      <c r="H36" s="90" t="s">
        <v>110</v>
      </c>
      <c r="I36" s="91"/>
      <c r="J36" s="91"/>
      <c r="K36" s="91"/>
      <c r="L36" s="92"/>
    </row>
    <row r="37" spans="2:13" ht="21">
      <c r="B37" s="88" t="s">
        <v>113</v>
      </c>
      <c r="C37" s="128"/>
      <c r="D37" s="22"/>
      <c r="H37" s="97">
        <f>H26</f>
        <v>2026</v>
      </c>
      <c r="I37" s="97">
        <f>I26</f>
        <v>2027</v>
      </c>
      <c r="J37" s="97">
        <f>J26</f>
        <v>2028</v>
      </c>
      <c r="K37" s="97">
        <f>K26</f>
        <v>2029</v>
      </c>
      <c r="L37" s="97">
        <f>L26</f>
        <v>2030</v>
      </c>
    </row>
    <row r="38" spans="2:13" ht="15.75">
      <c r="B38" s="323" t="s">
        <v>111</v>
      </c>
      <c r="C38" s="310" t="s">
        <v>96</v>
      </c>
      <c r="D38" s="324">
        <f>Assumptions!D72</f>
        <v>14.28</v>
      </c>
      <c r="H38" s="315">
        <f>IF(G38="",$D$224,MIN($D38-SUM($G38:G38),1))</f>
        <v>0</v>
      </c>
      <c r="I38" s="316">
        <f>IF(H38="",$D$224,MIN($D38-SUM($G38:H38),1))</f>
        <v>1</v>
      </c>
      <c r="J38" s="316">
        <f>IF(I38="",$D$224,MIN($D38-SUM($G38:I38),1))</f>
        <v>1</v>
      </c>
      <c r="K38" s="316">
        <f>IF(J38="",$D$224,MIN($D38-SUM($G38:J38),1))</f>
        <v>1</v>
      </c>
      <c r="L38" s="317">
        <f>IF(K38="",$D$224,MIN($D38-SUM($G38:K38),1))</f>
        <v>1</v>
      </c>
    </row>
    <row r="39" spans="2:13" ht="15.75">
      <c r="B39" s="312" t="s">
        <v>115</v>
      </c>
      <c r="C39" s="313"/>
      <c r="D39" s="322">
        <f>Assumptions!D70</f>
        <v>0.5</v>
      </c>
      <c r="H39" s="318">
        <f t="shared" ref="H39:L42" si="3">G38</f>
        <v>0</v>
      </c>
      <c r="I39" s="96">
        <f t="shared" si="3"/>
        <v>0</v>
      </c>
      <c r="J39" s="96">
        <f t="shared" si="3"/>
        <v>1</v>
      </c>
      <c r="K39" s="96">
        <f t="shared" si="3"/>
        <v>1</v>
      </c>
      <c r="L39" s="319">
        <f t="shared" si="3"/>
        <v>1</v>
      </c>
    </row>
    <row r="40" spans="2:13" ht="21">
      <c r="B40" s="83"/>
      <c r="C40" s="128"/>
      <c r="D40" s="12"/>
      <c r="H40" s="318">
        <f t="shared" si="3"/>
        <v>0</v>
      </c>
      <c r="I40" s="96">
        <f t="shared" si="3"/>
        <v>0</v>
      </c>
      <c r="J40" s="96">
        <f t="shared" si="3"/>
        <v>0</v>
      </c>
      <c r="K40" s="96">
        <f t="shared" si="3"/>
        <v>1</v>
      </c>
      <c r="L40" s="319">
        <f t="shared" si="3"/>
        <v>1</v>
      </c>
    </row>
    <row r="41" spans="2:13" ht="21">
      <c r="B41" s="83"/>
      <c r="C41" s="128"/>
      <c r="D41" s="12"/>
      <c r="H41" s="318">
        <f t="shared" si="3"/>
        <v>0</v>
      </c>
      <c r="I41" s="96">
        <f t="shared" si="3"/>
        <v>0</v>
      </c>
      <c r="J41" s="96">
        <f t="shared" si="3"/>
        <v>0</v>
      </c>
      <c r="K41" s="96">
        <f t="shared" si="3"/>
        <v>0</v>
      </c>
      <c r="L41" s="319">
        <f t="shared" si="3"/>
        <v>1</v>
      </c>
    </row>
    <row r="42" spans="2:13" ht="21">
      <c r="B42" s="83"/>
      <c r="C42" s="128"/>
      <c r="D42" s="12"/>
      <c r="H42" s="320">
        <f t="shared" si="3"/>
        <v>0</v>
      </c>
      <c r="I42" s="321">
        <f t="shared" si="3"/>
        <v>0</v>
      </c>
      <c r="J42" s="321">
        <f t="shared" si="3"/>
        <v>0</v>
      </c>
      <c r="K42" s="321">
        <f t="shared" si="3"/>
        <v>0</v>
      </c>
      <c r="L42" s="322">
        <f t="shared" si="3"/>
        <v>0</v>
      </c>
    </row>
    <row r="43" spans="2:13" ht="15.75">
      <c r="B43" s="83"/>
      <c r="C43" s="125"/>
      <c r="D43" s="12"/>
      <c r="E43" s="19"/>
      <c r="F43" s="19"/>
      <c r="G43" s="19"/>
      <c r="H43" s="20"/>
      <c r="I43" s="20"/>
      <c r="J43" s="20"/>
      <c r="K43" s="20"/>
      <c r="L43" s="20"/>
    </row>
    <row r="44" spans="2:13" ht="15.75">
      <c r="B44" s="83"/>
      <c r="C44" s="125"/>
      <c r="D44" s="12"/>
      <c r="E44" s="19"/>
      <c r="F44" s="19"/>
      <c r="G44" s="19"/>
      <c r="H44" s="20"/>
      <c r="I44" s="20"/>
      <c r="J44" s="20"/>
      <c r="K44" s="20"/>
      <c r="L44" s="20"/>
    </row>
    <row r="45" spans="2:13" ht="21">
      <c r="B45" s="83"/>
      <c r="C45" s="125"/>
      <c r="D45" s="19"/>
      <c r="E45" s="19"/>
      <c r="F45" s="19"/>
      <c r="G45" s="19"/>
      <c r="H45" s="90" t="s">
        <v>116</v>
      </c>
      <c r="I45" s="91"/>
      <c r="J45" s="91"/>
      <c r="K45" s="91"/>
      <c r="L45" s="92"/>
    </row>
    <row r="46" spans="2:13" ht="21">
      <c r="B46" s="89"/>
      <c r="C46" s="128"/>
      <c r="D46" s="89"/>
      <c r="E46" s="12" t="s">
        <v>114</v>
      </c>
      <c r="F46" s="12" t="s">
        <v>74</v>
      </c>
      <c r="G46" s="12" t="s">
        <v>117</v>
      </c>
      <c r="H46" s="97">
        <f>H37</f>
        <v>2026</v>
      </c>
      <c r="I46" s="97">
        <f>I37</f>
        <v>2027</v>
      </c>
      <c r="J46" s="97">
        <f>J37</f>
        <v>2028</v>
      </c>
      <c r="K46" s="97">
        <f>K37</f>
        <v>2029</v>
      </c>
      <c r="L46" s="97">
        <f>L37</f>
        <v>2030</v>
      </c>
    </row>
    <row r="47" spans="2:13" ht="21">
      <c r="B47" s="83"/>
      <c r="C47" s="128"/>
      <c r="D47" s="89"/>
      <c r="E47" s="325" cm="1">
        <f t="array" ref="E47:E51">TRANSPOSE(H26:L26)</f>
        <v>2026</v>
      </c>
      <c r="F47" s="326">
        <f>SUMIF($H$26:$L$26,E47,$H$28:$L$28)</f>
        <v>1458.0951</v>
      </c>
      <c r="G47" s="406">
        <f>F47/$D$38</f>
        <v>102.1075</v>
      </c>
      <c r="H47" s="409">
        <f>$G47*H38</f>
        <v>0</v>
      </c>
      <c r="I47" s="410">
        <f t="shared" ref="H47:L51" si="4">$G47*I38</f>
        <v>102.1075</v>
      </c>
      <c r="J47" s="410">
        <f t="shared" si="4"/>
        <v>102.1075</v>
      </c>
      <c r="K47" s="410">
        <f t="shared" si="4"/>
        <v>102.1075</v>
      </c>
      <c r="L47" s="411">
        <f t="shared" si="4"/>
        <v>102.1075</v>
      </c>
    </row>
    <row r="48" spans="2:13" ht="21">
      <c r="B48" s="83"/>
      <c r="C48" s="128"/>
      <c r="D48" s="89"/>
      <c r="E48" s="327">
        <v>2027</v>
      </c>
      <c r="F48" s="328">
        <f>SUMIF($H$26:$L$26,E48,$H$28:$L$28)</f>
        <v>1577.6588981999998</v>
      </c>
      <c r="G48" s="407">
        <f>F48/$D$38</f>
        <v>110.48031499999999</v>
      </c>
      <c r="H48" s="412">
        <f>$G48*H39</f>
        <v>0</v>
      </c>
      <c r="I48" s="413">
        <f t="shared" si="4"/>
        <v>0</v>
      </c>
      <c r="J48" s="413">
        <f t="shared" si="4"/>
        <v>110.48031499999999</v>
      </c>
      <c r="K48" s="413">
        <f t="shared" si="4"/>
        <v>110.48031499999999</v>
      </c>
      <c r="L48" s="414">
        <f t="shared" si="4"/>
        <v>110.48031499999999</v>
      </c>
    </row>
    <row r="49" spans="1:12" ht="21">
      <c r="B49" s="83"/>
      <c r="C49" s="128"/>
      <c r="D49" s="89"/>
      <c r="E49" s="327">
        <v>2028</v>
      </c>
      <c r="F49" s="328">
        <f>SUMIF($H$26:$L$26,E49,$H$28:$L$28)</f>
        <v>1703.8716100560002</v>
      </c>
      <c r="G49" s="407">
        <f>F49/$D$38</f>
        <v>119.31874020000002</v>
      </c>
      <c r="H49" s="412">
        <f t="shared" si="4"/>
        <v>0</v>
      </c>
      <c r="I49" s="413">
        <f t="shared" si="4"/>
        <v>0</v>
      </c>
      <c r="J49" s="413">
        <f t="shared" si="4"/>
        <v>0</v>
      </c>
      <c r="K49" s="413">
        <f t="shared" si="4"/>
        <v>119.31874020000002</v>
      </c>
      <c r="L49" s="414">
        <f t="shared" si="4"/>
        <v>119.31874020000002</v>
      </c>
    </row>
    <row r="50" spans="1:12" ht="21">
      <c r="B50" s="83"/>
      <c r="C50" s="128"/>
      <c r="D50" s="89"/>
      <c r="E50" s="327">
        <v>2029</v>
      </c>
      <c r="F50" s="328">
        <f>SUMIF($H$26:$L$26,E50,$H$28:$L$28)</f>
        <v>1823.1426227599204</v>
      </c>
      <c r="G50" s="407">
        <f>F50/$D$38</f>
        <v>127.67105201400004</v>
      </c>
      <c r="H50" s="412">
        <f>$G50*H41</f>
        <v>0</v>
      </c>
      <c r="I50" s="413">
        <f t="shared" si="4"/>
        <v>0</v>
      </c>
      <c r="J50" s="413">
        <f t="shared" si="4"/>
        <v>0</v>
      </c>
      <c r="K50" s="413">
        <f t="shared" si="4"/>
        <v>0</v>
      </c>
      <c r="L50" s="414">
        <f t="shared" si="4"/>
        <v>127.67105201400004</v>
      </c>
    </row>
    <row r="51" spans="1:12" ht="21">
      <c r="B51" s="83"/>
      <c r="C51" s="128"/>
      <c r="D51" s="89"/>
      <c r="E51" s="329">
        <v>2030</v>
      </c>
      <c r="F51" s="330">
        <f>SUMIF($H$26:$L$26,E51,$H$28:$L$28)</f>
        <v>1932.5311801255157</v>
      </c>
      <c r="G51" s="408">
        <f>F51/$D$38</f>
        <v>135.33131513484003</v>
      </c>
      <c r="H51" s="415">
        <f t="shared" si="4"/>
        <v>0</v>
      </c>
      <c r="I51" s="416">
        <f t="shared" si="4"/>
        <v>0</v>
      </c>
      <c r="J51" s="416">
        <f t="shared" si="4"/>
        <v>0</v>
      </c>
      <c r="K51" s="416">
        <f t="shared" si="4"/>
        <v>0</v>
      </c>
      <c r="L51" s="417">
        <f t="shared" si="4"/>
        <v>0</v>
      </c>
    </row>
    <row r="53" spans="1:12" ht="15.75">
      <c r="B53" s="88" t="s">
        <v>119</v>
      </c>
      <c r="C53" s="125"/>
      <c r="D53" s="19"/>
      <c r="E53" s="19"/>
      <c r="F53" s="19"/>
      <c r="G53" s="19"/>
      <c r="H53" s="20"/>
      <c r="I53" s="20"/>
      <c r="J53" s="20"/>
      <c r="K53" s="20"/>
      <c r="L53" s="20"/>
    </row>
    <row r="54" spans="1:12" ht="15.75">
      <c r="B54" s="8" t="s">
        <v>120</v>
      </c>
      <c r="C54" s="125"/>
      <c r="D54" s="19"/>
      <c r="E54" s="101"/>
      <c r="F54" s="101"/>
      <c r="G54" s="101"/>
      <c r="H54" s="116">
        <f>($D$33/$D$32)*H33</f>
        <v>1354.0031397174255</v>
      </c>
      <c r="I54" s="116">
        <f>($D$33/$D$32)*I33</f>
        <v>1354.0031397174255</v>
      </c>
      <c r="J54" s="116">
        <f>($D$33/$D$32)*J33</f>
        <v>1354.0031397174255</v>
      </c>
      <c r="K54" s="116">
        <f>($D$33/$D$32)*K33</f>
        <v>1354.0031397174255</v>
      </c>
      <c r="L54" s="116">
        <f>($D$33/$D$32)*L33</f>
        <v>1354.0031397174255</v>
      </c>
    </row>
    <row r="55" spans="1:12" ht="15.75">
      <c r="B55" s="8" t="s">
        <v>121</v>
      </c>
      <c r="C55" s="125"/>
      <c r="D55" s="19"/>
      <c r="E55" s="19"/>
      <c r="F55" s="19"/>
      <c r="G55" s="19"/>
      <c r="H55" s="116">
        <f>SUM(H47:H51)</f>
        <v>0</v>
      </c>
      <c r="I55" s="116">
        <f>SUM(I47:I51)</f>
        <v>102.1075</v>
      </c>
      <c r="J55" s="116">
        <f>SUM(J47:J51)</f>
        <v>212.58781499999998</v>
      </c>
      <c r="K55" s="116">
        <f>SUM(K47:K51)</f>
        <v>331.90655520000001</v>
      </c>
      <c r="L55" s="116">
        <f>SUM(L47:L51)</f>
        <v>459.57760721400007</v>
      </c>
    </row>
    <row r="56" spans="1:12" ht="15.75">
      <c r="B56" s="8" t="s">
        <v>122</v>
      </c>
      <c r="C56" s="125"/>
      <c r="D56" s="19"/>
      <c r="E56" s="19"/>
      <c r="F56" s="19"/>
      <c r="G56" s="19"/>
      <c r="H56" s="418">
        <f>SUM(H54:H55)</f>
        <v>1354.0031397174255</v>
      </c>
      <c r="I56" s="418">
        <f>SUM(I54:I55)</f>
        <v>1456.1106397174256</v>
      </c>
      <c r="J56" s="418">
        <f>SUM(J54:J55)</f>
        <v>1566.5909547174256</v>
      </c>
      <c r="K56" s="418">
        <f>SUM(K54:K55)</f>
        <v>1685.9096949174254</v>
      </c>
      <c r="L56" s="418">
        <f>SUM(L54:L55)</f>
        <v>1813.5807469314254</v>
      </c>
    </row>
    <row r="58" spans="1:12" ht="26.25">
      <c r="A58" s="124" t="s">
        <v>76</v>
      </c>
      <c r="B58" s="26" t="s">
        <v>142</v>
      </c>
      <c r="C58" s="126"/>
      <c r="D58" s="102"/>
      <c r="E58" s="102"/>
      <c r="F58" s="102"/>
      <c r="G58" s="102"/>
      <c r="H58" s="102"/>
      <c r="I58" s="102"/>
      <c r="J58" s="102"/>
      <c r="K58" s="102"/>
      <c r="L58" s="102"/>
    </row>
    <row r="59" spans="1:12" ht="26.25">
      <c r="B59" s="24" t="str">
        <f t="shared" ref="B59:L59" si="5">B3</f>
        <v>Particulars</v>
      </c>
      <c r="C59" s="25" t="str">
        <f t="shared" si="5"/>
        <v xml:space="preserve"> </v>
      </c>
      <c r="D59" s="25" t="str">
        <f t="shared" si="5"/>
        <v xml:space="preserve"> </v>
      </c>
      <c r="E59" s="55">
        <f t="shared" si="5"/>
        <v>2023</v>
      </c>
      <c r="F59" s="55">
        <f t="shared" si="5"/>
        <v>2024</v>
      </c>
      <c r="G59" s="55">
        <f t="shared" si="5"/>
        <v>2025</v>
      </c>
      <c r="H59" s="103">
        <f t="shared" si="5"/>
        <v>2026</v>
      </c>
      <c r="I59" s="103">
        <f t="shared" si="5"/>
        <v>2027</v>
      </c>
      <c r="J59" s="103">
        <f t="shared" si="5"/>
        <v>2028</v>
      </c>
      <c r="K59" s="103">
        <f t="shared" si="5"/>
        <v>2029</v>
      </c>
      <c r="L59" s="103">
        <f t="shared" si="5"/>
        <v>2030</v>
      </c>
    </row>
    <row r="61" spans="1:12" ht="15.75">
      <c r="B61" s="88" t="s">
        <v>148</v>
      </c>
    </row>
    <row r="62" spans="1:12">
      <c r="B62" t="s">
        <v>143</v>
      </c>
      <c r="G62" s="56"/>
      <c r="H62" s="56">
        <f>G66</f>
        <v>8625</v>
      </c>
      <c r="I62" s="56">
        <f>H66</f>
        <v>8510.3776952825738</v>
      </c>
      <c r="J62" s="56">
        <f>I66</f>
        <v>8613.9913840351473</v>
      </c>
      <c r="K62" s="56">
        <f>J66</f>
        <v>8732.3401325953218</v>
      </c>
      <c r="L62" s="56">
        <f>K66</f>
        <v>8851.6824085322296</v>
      </c>
    </row>
    <row r="63" spans="1:12">
      <c r="B63" t="s">
        <v>149</v>
      </c>
      <c r="G63" s="56"/>
      <c r="H63" s="56">
        <f>Assumptions!H38*0.85</f>
        <v>1239.3808349999999</v>
      </c>
      <c r="I63" s="56">
        <f>Assumptions!I38*0.85</f>
        <v>1341.0100634699997</v>
      </c>
      <c r="J63" s="56">
        <f>Assumptions!J38*0.85</f>
        <v>1448.2908685476002</v>
      </c>
      <c r="K63" s="56">
        <f>Assumptions!K38*0.85</f>
        <v>1549.6712293459323</v>
      </c>
      <c r="L63" s="56">
        <f>Assumptions!L38*0.85</f>
        <v>1642.6515031066883</v>
      </c>
    </row>
    <row r="64" spans="1:12">
      <c r="B64" t="s">
        <v>150</v>
      </c>
      <c r="G64" s="56"/>
      <c r="H64" s="56">
        <f>H71*-1</f>
        <v>0</v>
      </c>
      <c r="I64" s="56">
        <f>I71*-1</f>
        <v>218.71426499999998</v>
      </c>
      <c r="J64" s="56">
        <f>J71*-1</f>
        <v>236.64883472999998</v>
      </c>
      <c r="K64" s="56">
        <f>K71*-1</f>
        <v>255.58074150840002</v>
      </c>
      <c r="L64" s="56">
        <f>L71*-1</f>
        <v>273.47139341398804</v>
      </c>
    </row>
    <row r="65" spans="1:12">
      <c r="B65" t="s">
        <v>8</v>
      </c>
      <c r="G65" s="56"/>
      <c r="H65" s="56">
        <f>H56*-1</f>
        <v>-1354.0031397174255</v>
      </c>
      <c r="I65" s="56">
        <f>I56*-1</f>
        <v>-1456.1106397174256</v>
      </c>
      <c r="J65" s="56">
        <f>J56*-1</f>
        <v>-1566.5909547174256</v>
      </c>
      <c r="K65" s="56">
        <f>K56*-1</f>
        <v>-1685.9096949174254</v>
      </c>
      <c r="L65" s="56">
        <f>L56*-1</f>
        <v>-1813.5807469314254</v>
      </c>
    </row>
    <row r="66" spans="1:12">
      <c r="B66" t="s">
        <v>75</v>
      </c>
      <c r="G66" s="419">
        <f>Core_Model!G42-1009</f>
        <v>8625</v>
      </c>
      <c r="H66" s="420">
        <f>SUM(H62:H65)</f>
        <v>8510.3776952825738</v>
      </c>
      <c r="I66" s="420">
        <f>SUM(I62:I65)</f>
        <v>8613.9913840351473</v>
      </c>
      <c r="J66" s="420">
        <f>SUM(J62:J65)</f>
        <v>8732.3401325953218</v>
      </c>
      <c r="K66" s="420">
        <f>SUM(K62:K65)</f>
        <v>8851.6824085322296</v>
      </c>
      <c r="L66" s="420">
        <f>SUM(L62:L65)</f>
        <v>8954.2245581214793</v>
      </c>
    </row>
    <row r="68" spans="1:12">
      <c r="B68" s="1" t="s">
        <v>147</v>
      </c>
    </row>
    <row r="69" spans="1:12">
      <c r="B69" t="s">
        <v>143</v>
      </c>
      <c r="G69" s="56"/>
      <c r="H69" s="56">
        <f>G72</f>
        <v>1009</v>
      </c>
      <c r="I69" s="56">
        <f>H72</f>
        <v>1227.7142650000001</v>
      </c>
      <c r="J69" s="56">
        <f>I72</f>
        <v>1245.6488347300001</v>
      </c>
      <c r="K69" s="56">
        <f>J72</f>
        <v>1264.5807415084</v>
      </c>
      <c r="L69" s="56">
        <f>K72</f>
        <v>1282.4713934139882</v>
      </c>
    </row>
    <row r="70" spans="1:12">
      <c r="B70" t="s">
        <v>151</v>
      </c>
      <c r="G70" s="421"/>
      <c r="H70" s="421">
        <f>Assumptions!H38*0.15</f>
        <v>218.71426499999998</v>
      </c>
      <c r="I70" s="421">
        <f>Assumptions!I38*0.15</f>
        <v>236.64883472999998</v>
      </c>
      <c r="J70" s="421">
        <f>Assumptions!J38*0.15</f>
        <v>255.58074150840002</v>
      </c>
      <c r="K70" s="421">
        <f>Assumptions!K38*0.15</f>
        <v>273.47139341398804</v>
      </c>
      <c r="L70" s="421">
        <f>Assumptions!L38*0.15</f>
        <v>289.87967701882735</v>
      </c>
    </row>
    <row r="71" spans="1:12">
      <c r="B71" t="s">
        <v>150</v>
      </c>
      <c r="G71" s="56"/>
      <c r="H71" s="56">
        <f>G70*-1</f>
        <v>0</v>
      </c>
      <c r="I71" s="56">
        <f>H70*-1</f>
        <v>-218.71426499999998</v>
      </c>
      <c r="J71" s="56">
        <f>I70*-1</f>
        <v>-236.64883472999998</v>
      </c>
      <c r="K71" s="56">
        <f>J70*-1</f>
        <v>-255.58074150840002</v>
      </c>
      <c r="L71" s="56">
        <f>K70*-1</f>
        <v>-273.47139341398804</v>
      </c>
    </row>
    <row r="72" spans="1:12">
      <c r="B72" t="s">
        <v>75</v>
      </c>
      <c r="G72" s="419">
        <f>Core_Model!G42-Schedules!G66</f>
        <v>1009</v>
      </c>
      <c r="H72" s="420">
        <f>SUM(H69:H71)</f>
        <v>1227.7142650000001</v>
      </c>
      <c r="I72" s="420">
        <f>SUM(I69:I71)</f>
        <v>1245.6488347300001</v>
      </c>
      <c r="J72" s="420">
        <f>SUM(J69:J71)</f>
        <v>1264.5807415084</v>
      </c>
      <c r="K72" s="420">
        <f>SUM(K69:K71)</f>
        <v>1282.4713934139882</v>
      </c>
      <c r="L72" s="420">
        <f>SUM(L69:L71)</f>
        <v>1298.8796770188274</v>
      </c>
    </row>
    <row r="73" spans="1:12">
      <c r="H73" s="56"/>
      <c r="I73" s="56"/>
      <c r="J73" s="56"/>
      <c r="K73" s="56"/>
      <c r="L73" s="56"/>
    </row>
    <row r="74" spans="1:12">
      <c r="B74" s="1" t="s">
        <v>24</v>
      </c>
      <c r="C74" s="129"/>
      <c r="D74" s="1"/>
      <c r="E74" s="1"/>
      <c r="F74" s="1"/>
      <c r="G74" s="1"/>
      <c r="H74" s="80">
        <f>H66+H72</f>
        <v>9738.0919602825743</v>
      </c>
      <c r="I74" s="80">
        <f>I66+I72</f>
        <v>9859.6402187651474</v>
      </c>
      <c r="J74" s="80">
        <f>J66+J72</f>
        <v>9996.9208741037219</v>
      </c>
      <c r="K74" s="80">
        <f>K66+K72</f>
        <v>10134.153801946217</v>
      </c>
      <c r="L74" s="80">
        <f>L66+L72</f>
        <v>10253.104235140307</v>
      </c>
    </row>
    <row r="76" spans="1:12" ht="26.25">
      <c r="A76" s="124" t="s">
        <v>76</v>
      </c>
      <c r="B76" s="26" t="s">
        <v>154</v>
      </c>
      <c r="C76" s="126"/>
      <c r="D76" s="102"/>
      <c r="E76" s="102"/>
      <c r="F76" s="102"/>
      <c r="G76" s="102"/>
      <c r="H76" s="102"/>
      <c r="I76" s="102"/>
      <c r="J76" s="102"/>
      <c r="K76" s="102"/>
      <c r="L76" s="102"/>
    </row>
    <row r="77" spans="1:12" ht="26.25">
      <c r="B77" s="24" t="str">
        <f t="shared" ref="B77:L77" si="6">B59</f>
        <v>Particulars</v>
      </c>
      <c r="C77" s="127" t="str">
        <f t="shared" si="6"/>
        <v xml:space="preserve"> </v>
      </c>
      <c r="D77" s="25" t="str">
        <f t="shared" si="6"/>
        <v xml:space="preserve"> </v>
      </c>
      <c r="E77" s="55">
        <f t="shared" si="6"/>
        <v>2023</v>
      </c>
      <c r="F77" s="55">
        <f t="shared" si="6"/>
        <v>2024</v>
      </c>
      <c r="G77" s="55">
        <f t="shared" si="6"/>
        <v>2025</v>
      </c>
      <c r="H77" s="103">
        <f t="shared" si="6"/>
        <v>2026</v>
      </c>
      <c r="I77" s="103">
        <f t="shared" si="6"/>
        <v>2027</v>
      </c>
      <c r="J77" s="103">
        <f t="shared" si="6"/>
        <v>2028</v>
      </c>
      <c r="K77" s="103">
        <f t="shared" si="6"/>
        <v>2029</v>
      </c>
      <c r="L77" s="103">
        <f t="shared" si="6"/>
        <v>2030</v>
      </c>
    </row>
    <row r="78" spans="1:12" ht="15.75">
      <c r="B78" s="83"/>
      <c r="C78" s="125"/>
      <c r="D78" s="19"/>
      <c r="E78" s="19"/>
      <c r="F78" s="19"/>
      <c r="G78" s="19"/>
      <c r="H78" s="20"/>
      <c r="I78" s="20"/>
      <c r="J78" s="20"/>
      <c r="K78" s="20"/>
      <c r="L78" s="20"/>
    </row>
    <row r="79" spans="1:12" ht="16.5">
      <c r="B79" s="12" t="s">
        <v>67</v>
      </c>
      <c r="C79" s="125"/>
      <c r="D79" s="23"/>
      <c r="E79" s="23"/>
      <c r="F79" s="23"/>
      <c r="G79" s="19"/>
      <c r="H79" s="20"/>
      <c r="I79" s="20"/>
      <c r="J79" s="20"/>
      <c r="K79" s="20"/>
      <c r="L79" s="20"/>
    </row>
    <row r="80" spans="1:12" ht="16.5">
      <c r="B80" s="8" t="s">
        <v>68</v>
      </c>
      <c r="C80" s="125"/>
      <c r="D80" s="23"/>
      <c r="E80" s="23"/>
      <c r="F80" s="23"/>
      <c r="G80" s="116"/>
      <c r="H80" s="116">
        <f>Core_Model!H99</f>
        <v>6106</v>
      </c>
      <c r="I80" s="116">
        <f>Core_Model!I99</f>
        <v>4685.1783047210702</v>
      </c>
      <c r="J80" s="116">
        <f>Core_Model!J99</f>
        <v>6252.4707188994398</v>
      </c>
      <c r="K80" s="116">
        <f>Core_Model!K99</f>
        <v>8009.3963960230667</v>
      </c>
      <c r="L80" s="116">
        <f>Core_Model!L99</f>
        <v>9692.8082774118848</v>
      </c>
    </row>
    <row r="81" spans="1:12" ht="15.75">
      <c r="B81" s="8" t="s">
        <v>69</v>
      </c>
      <c r="C81" s="125"/>
      <c r="D81" s="19"/>
      <c r="E81" s="19"/>
      <c r="F81" s="19"/>
      <c r="G81" s="116"/>
      <c r="H81" s="116">
        <f>Core_Model!H81</f>
        <v>10024.670783148626</v>
      </c>
      <c r="I81" s="116">
        <f>Core_Model!I81</f>
        <v>14136.031780252746</v>
      </c>
      <c r="J81" s="116">
        <f>Core_Model!J81</f>
        <v>15674.518697333477</v>
      </c>
      <c r="K81" s="116">
        <f>Core_Model!K81</f>
        <v>16909.560577205499</v>
      </c>
      <c r="L81" s="116">
        <f>Core_Model!L81</f>
        <v>18131.782607093439</v>
      </c>
    </row>
    <row r="82" spans="1:12" ht="15.75">
      <c r="B82" s="8" t="s">
        <v>70</v>
      </c>
      <c r="C82" s="125"/>
      <c r="D82" s="19"/>
      <c r="E82" s="19"/>
      <c r="F82" s="19"/>
      <c r="G82" s="116"/>
      <c r="H82" s="116">
        <f>Core_Model!H87</f>
        <v>-1458.0951</v>
      </c>
      <c r="I82" s="116">
        <f>Core_Model!I87</f>
        <v>-1577.6588981999998</v>
      </c>
      <c r="J82" s="116">
        <f>Core_Model!J87</f>
        <v>-1703.8716100560002</v>
      </c>
      <c r="K82" s="116">
        <f>Core_Model!K87</f>
        <v>-1823.1426227599204</v>
      </c>
      <c r="L82" s="116">
        <f>Core_Model!L87</f>
        <v>-1932.5311801255157</v>
      </c>
    </row>
    <row r="83" spans="1:12" ht="16.5">
      <c r="B83" s="8" t="s">
        <v>51</v>
      </c>
      <c r="C83" s="14"/>
      <c r="D83" s="23"/>
      <c r="E83" s="23"/>
      <c r="F83" s="23"/>
      <c r="G83" s="117"/>
      <c r="H83" s="116">
        <f>Core_Model!H94</f>
        <v>0</v>
      </c>
      <c r="I83" s="116">
        <f>Core_Model!I94</f>
        <v>0</v>
      </c>
      <c r="J83" s="116">
        <f>Core_Model!J94</f>
        <v>0</v>
      </c>
      <c r="K83" s="116">
        <f>Core_Model!K94</f>
        <v>0</v>
      </c>
      <c r="L83" s="116">
        <f>Core_Model!L94</f>
        <v>0</v>
      </c>
    </row>
    <row r="84" spans="1:12" ht="16.5">
      <c r="B84" s="8" t="s">
        <v>52</v>
      </c>
      <c r="C84" s="14"/>
      <c r="D84" s="23"/>
      <c r="E84" s="23"/>
      <c r="F84" s="23"/>
      <c r="G84" s="117"/>
      <c r="H84" s="116">
        <f>Core_Model!H95</f>
        <v>0</v>
      </c>
      <c r="I84" s="116">
        <f>Core_Model!I95</f>
        <v>0</v>
      </c>
      <c r="J84" s="116">
        <f>Core_Model!J95</f>
        <v>0</v>
      </c>
      <c r="K84" s="116">
        <f>Core_Model!K95</f>
        <v>0</v>
      </c>
      <c r="L84" s="116">
        <f>Core_Model!L95</f>
        <v>0</v>
      </c>
    </row>
    <row r="85" spans="1:12" ht="16.5">
      <c r="B85" s="8" t="s">
        <v>53</v>
      </c>
      <c r="C85" s="14"/>
      <c r="D85" s="23"/>
      <c r="E85" s="23"/>
      <c r="F85" s="23"/>
      <c r="G85" s="117"/>
      <c r="H85" s="116">
        <f>Core_Model!H93</f>
        <v>-9925.2473784275553</v>
      </c>
      <c r="I85" s="116">
        <f>Core_Model!I93</f>
        <v>-10932.037967874378</v>
      </c>
      <c r="J85" s="116">
        <f>Core_Model!J93</f>
        <v>-12157.63103515385</v>
      </c>
      <c r="K85" s="116">
        <f>Core_Model!K93</f>
        <v>-13349.72021680676</v>
      </c>
      <c r="L85" s="116">
        <f>Core_Model!L93</f>
        <v>-14420.634347287183</v>
      </c>
    </row>
    <row r="86" spans="1:12" ht="16.5">
      <c r="B86" s="8" t="s">
        <v>71</v>
      </c>
      <c r="C86" s="14"/>
      <c r="D86" s="23"/>
      <c r="E86" s="23"/>
      <c r="F86" s="23"/>
      <c r="G86" s="117"/>
      <c r="H86" s="349">
        <f>SUM(H80:H85)</f>
        <v>4747.3283047210698</v>
      </c>
      <c r="I86" s="349">
        <f t="shared" ref="I86:L86" si="7">SUM(I80:I85)</f>
        <v>6311.5132188994394</v>
      </c>
      <c r="J86" s="349">
        <f t="shared" si="7"/>
        <v>8065.4867710230628</v>
      </c>
      <c r="K86" s="349">
        <f t="shared" si="7"/>
        <v>9746.0941336618853</v>
      </c>
      <c r="L86" s="349">
        <f t="shared" si="7"/>
        <v>11471.425357092625</v>
      </c>
    </row>
    <row r="87" spans="1:12" ht="16.5">
      <c r="B87" s="23"/>
      <c r="C87" s="14"/>
      <c r="D87" s="23"/>
      <c r="E87" s="23"/>
      <c r="F87" s="23"/>
      <c r="G87" s="117"/>
      <c r="H87" s="117"/>
      <c r="I87" s="117"/>
      <c r="J87" s="117"/>
      <c r="K87" s="117"/>
      <c r="L87" s="117"/>
    </row>
    <row r="88" spans="1:12" ht="16.5">
      <c r="B88" s="12" t="s">
        <v>72</v>
      </c>
      <c r="C88" s="125"/>
      <c r="D88" s="23"/>
      <c r="E88" s="23"/>
      <c r="F88" s="23"/>
      <c r="G88" s="118"/>
      <c r="H88" s="118"/>
      <c r="I88" s="118"/>
      <c r="J88" s="118"/>
      <c r="K88" s="118"/>
      <c r="L88" s="118"/>
    </row>
    <row r="89" spans="1:12" ht="15.75">
      <c r="B89" s="8" t="s">
        <v>65</v>
      </c>
      <c r="C89" s="125"/>
      <c r="D89" s="19"/>
      <c r="E89" s="19"/>
      <c r="F89" s="19"/>
      <c r="G89" s="116"/>
      <c r="H89" s="116">
        <f>G91</f>
        <v>1</v>
      </c>
      <c r="I89" s="116">
        <f t="shared" ref="I89:L89" si="8">H91</f>
        <v>0</v>
      </c>
      <c r="J89" s="116">
        <f t="shared" si="8"/>
        <v>0</v>
      </c>
      <c r="K89" s="116">
        <f t="shared" si="8"/>
        <v>0</v>
      </c>
      <c r="L89" s="116">
        <f t="shared" si="8"/>
        <v>0</v>
      </c>
    </row>
    <row r="90" spans="1:12" ht="15.75">
      <c r="B90" s="8" t="s">
        <v>56</v>
      </c>
      <c r="C90" s="125"/>
      <c r="D90" s="19"/>
      <c r="E90" s="19"/>
      <c r="F90" s="19"/>
      <c r="G90" s="118"/>
      <c r="H90" s="116">
        <f>MIN(H89,H86)*-1</f>
        <v>-1</v>
      </c>
      <c r="I90" s="116">
        <f>MIN(I89,I86)*-1</f>
        <v>0</v>
      </c>
      <c r="J90" s="116">
        <f>MIN(J89,J86)*-1</f>
        <v>0</v>
      </c>
      <c r="K90" s="116">
        <f>MIN(K89,K86)*-1</f>
        <v>0</v>
      </c>
      <c r="L90" s="116">
        <f>MIN(L89,L86)*-1</f>
        <v>0</v>
      </c>
    </row>
    <row r="91" spans="1:12" ht="15.75">
      <c r="B91" s="8" t="s">
        <v>66</v>
      </c>
      <c r="C91" s="125"/>
      <c r="D91" s="19"/>
      <c r="E91" s="19"/>
      <c r="F91" s="19"/>
      <c r="G91" s="350">
        <f>Core_Model!G48</f>
        <v>1</v>
      </c>
      <c r="H91" s="349">
        <f>SUM(H89:H90)</f>
        <v>0</v>
      </c>
      <c r="I91" s="349">
        <f t="shared" ref="I91:L91" si="9">SUM(I89:I90)</f>
        <v>0</v>
      </c>
      <c r="J91" s="349">
        <f t="shared" si="9"/>
        <v>0</v>
      </c>
      <c r="K91" s="349">
        <f t="shared" si="9"/>
        <v>0</v>
      </c>
      <c r="L91" s="349">
        <f t="shared" si="9"/>
        <v>0</v>
      </c>
    </row>
    <row r="92" spans="1:12" ht="15.75">
      <c r="B92" s="8"/>
      <c r="D92" s="19"/>
      <c r="E92" s="19"/>
      <c r="F92" s="19"/>
      <c r="G92" s="116"/>
      <c r="H92" s="116"/>
      <c r="I92" s="116"/>
      <c r="J92" s="116"/>
      <c r="K92" s="116"/>
      <c r="L92" s="116"/>
    </row>
    <row r="93" spans="1:12" ht="16.5">
      <c r="B93" s="130" t="s">
        <v>152</v>
      </c>
      <c r="C93"/>
      <c r="D93" s="132"/>
      <c r="E93" s="132"/>
      <c r="F93" s="133"/>
      <c r="G93" s="344"/>
      <c r="H93" s="345">
        <f>Assumptions!H55*H89</f>
        <v>0.05</v>
      </c>
      <c r="I93" s="345">
        <f>Assumptions!I55*I89</f>
        <v>0</v>
      </c>
      <c r="J93" s="345">
        <f>Assumptions!J55*J89</f>
        <v>0</v>
      </c>
      <c r="K93" s="345">
        <f>Assumptions!K55*K89</f>
        <v>0</v>
      </c>
      <c r="L93" s="345">
        <v>2</v>
      </c>
    </row>
    <row r="95" spans="1:12" ht="26.25">
      <c r="A95" s="124" t="s">
        <v>76</v>
      </c>
      <c r="B95" s="26" t="s">
        <v>218</v>
      </c>
      <c r="C95" s="126"/>
      <c r="D95" s="102"/>
      <c r="E95" s="102"/>
      <c r="F95" s="102"/>
      <c r="G95" s="102"/>
      <c r="H95" s="102"/>
      <c r="I95" s="102"/>
      <c r="J95" s="102"/>
      <c r="K95" s="102"/>
      <c r="L95" s="102"/>
    </row>
    <row r="96" spans="1:12" ht="26.25">
      <c r="B96" s="24" t="str">
        <f t="shared" ref="B96:L96" si="10">B77</f>
        <v>Particulars</v>
      </c>
      <c r="C96" s="127" t="str">
        <f t="shared" si="10"/>
        <v xml:space="preserve"> </v>
      </c>
      <c r="D96" s="25" t="str">
        <f t="shared" si="10"/>
        <v xml:space="preserve"> </v>
      </c>
      <c r="E96" s="55">
        <f t="shared" si="10"/>
        <v>2023</v>
      </c>
      <c r="F96" s="55">
        <f t="shared" si="10"/>
        <v>2024</v>
      </c>
      <c r="G96" s="55">
        <f t="shared" si="10"/>
        <v>2025</v>
      </c>
      <c r="H96" s="103">
        <f t="shared" si="10"/>
        <v>2026</v>
      </c>
      <c r="I96" s="103">
        <f t="shared" si="10"/>
        <v>2027</v>
      </c>
      <c r="J96" s="103">
        <f t="shared" si="10"/>
        <v>2028</v>
      </c>
      <c r="K96" s="103">
        <f t="shared" si="10"/>
        <v>2029</v>
      </c>
      <c r="L96" s="104">
        <f t="shared" si="10"/>
        <v>2030</v>
      </c>
    </row>
    <row r="97" spans="2:12" ht="15.75">
      <c r="C97" s="125"/>
      <c r="D97" s="19"/>
      <c r="E97" s="19"/>
      <c r="F97" s="19"/>
      <c r="G97" s="19"/>
      <c r="H97" s="20"/>
      <c r="I97" s="20"/>
      <c r="J97" s="20"/>
      <c r="K97" s="20"/>
      <c r="L97" s="20"/>
    </row>
    <row r="98" spans="2:12" ht="15.75">
      <c r="B98" s="323" t="s">
        <v>89</v>
      </c>
      <c r="C98" s="331"/>
      <c r="D98" s="332">
        <f>Assumptions!H53</f>
        <v>0.26</v>
      </c>
      <c r="E98" s="19"/>
      <c r="F98" s="19"/>
      <c r="G98" s="19"/>
      <c r="H98" s="20"/>
      <c r="I98" s="20"/>
      <c r="J98" s="20"/>
      <c r="K98" s="20"/>
      <c r="L98" s="20"/>
    </row>
    <row r="99" spans="2:12" ht="15.75">
      <c r="B99" s="333" t="s">
        <v>160</v>
      </c>
      <c r="C99" s="334"/>
      <c r="D99" s="335">
        <f>IF(L119=0,0,1)</f>
        <v>0</v>
      </c>
    </row>
    <row r="100" spans="2:12" ht="15.75">
      <c r="E100" s="19"/>
      <c r="F100" s="19"/>
      <c r="G100" s="19"/>
      <c r="H100" s="20"/>
      <c r="I100" s="20"/>
      <c r="J100" s="20"/>
      <c r="K100" s="20"/>
      <c r="L100" s="20"/>
    </row>
    <row r="101" spans="2:12" ht="15.75">
      <c r="B101" s="34" t="s">
        <v>158</v>
      </c>
      <c r="C101" s="125"/>
      <c r="D101" s="19"/>
      <c r="E101" s="19"/>
      <c r="F101" s="101"/>
      <c r="G101" s="21"/>
      <c r="H101" s="422">
        <f>Core_Model!H19</f>
        <v>15453.416610282567</v>
      </c>
      <c r="I101" s="423">
        <f>Core_Model!I19</f>
        <v>16855.536809782578</v>
      </c>
      <c r="J101" s="423">
        <f>Core_Model!J19</f>
        <v>18594.247607390582</v>
      </c>
      <c r="K101" s="423">
        <f>Core_Model!K19</f>
        <v>20297.891339482281</v>
      </c>
      <c r="L101" s="424">
        <f>Core_Model!L19</f>
        <v>21837.046207808879</v>
      </c>
    </row>
    <row r="102" spans="2:12" ht="15.75">
      <c r="B102" s="34" t="s">
        <v>159</v>
      </c>
      <c r="C102" s="125"/>
      <c r="D102" s="19"/>
      <c r="E102" s="19"/>
      <c r="F102" s="19"/>
      <c r="G102" s="19"/>
      <c r="H102" s="336">
        <f>IF(H108&gt;0,1,0)</f>
        <v>1</v>
      </c>
      <c r="I102" s="337">
        <f>IF(I108&gt;0,1,0)</f>
        <v>1</v>
      </c>
      <c r="J102" s="337">
        <f>IF(J108&gt;0,1,0)</f>
        <v>1</v>
      </c>
      <c r="K102" s="337">
        <f>IF(K108&gt;0,1,0)</f>
        <v>1</v>
      </c>
      <c r="L102" s="338">
        <f>IF(L108&gt;0,1,0)</f>
        <v>1</v>
      </c>
    </row>
    <row r="103" spans="2:12" ht="15.75">
      <c r="B103" s="83"/>
      <c r="C103" s="125"/>
      <c r="D103" s="119"/>
      <c r="E103" s="19"/>
      <c r="F103" s="19"/>
      <c r="G103" s="19"/>
      <c r="H103" s="20"/>
      <c r="I103" s="20"/>
      <c r="J103" s="20"/>
      <c r="K103" s="20"/>
      <c r="L103" s="20"/>
    </row>
    <row r="104" spans="2:12" ht="15.75">
      <c r="B104" s="12" t="s">
        <v>161</v>
      </c>
      <c r="C104" s="125"/>
      <c r="D104" s="19"/>
      <c r="E104" s="19"/>
      <c r="F104" s="19"/>
      <c r="G104" s="19"/>
      <c r="H104" s="20"/>
      <c r="I104" s="20"/>
      <c r="J104" s="20"/>
      <c r="K104" s="20"/>
      <c r="L104" s="20"/>
    </row>
    <row r="105" spans="2:12" ht="15.75">
      <c r="B105" s="8" t="s">
        <v>10</v>
      </c>
      <c r="C105" s="125"/>
      <c r="D105" s="19"/>
      <c r="E105" s="19"/>
      <c r="F105" s="19"/>
      <c r="G105" s="21"/>
      <c r="H105" s="116">
        <f>H101</f>
        <v>15453.416610282567</v>
      </c>
      <c r="I105" s="116">
        <f>I101</f>
        <v>16855.536809782578</v>
      </c>
      <c r="J105" s="116">
        <f>J101</f>
        <v>18594.247607390582</v>
      </c>
      <c r="K105" s="116">
        <f>K101</f>
        <v>20297.891339482281</v>
      </c>
      <c r="L105" s="116">
        <f>L101</f>
        <v>21837.046207808879</v>
      </c>
    </row>
    <row r="106" spans="2:12" ht="15.75">
      <c r="B106" s="8" t="s">
        <v>173</v>
      </c>
      <c r="C106" s="125"/>
      <c r="D106" s="19"/>
      <c r="E106" s="19"/>
      <c r="F106" s="19"/>
      <c r="G106" s="120"/>
      <c r="H106" s="116">
        <f>Core_Model!H13*-1</f>
        <v>1354.0031397174255</v>
      </c>
      <c r="I106" s="116">
        <f>Core_Model!I13*-1</f>
        <v>1456.1106397174256</v>
      </c>
      <c r="J106" s="116">
        <f>Core_Model!J13*-1</f>
        <v>1566.5909547174256</v>
      </c>
      <c r="K106" s="116">
        <f>Core_Model!K13*-1</f>
        <v>1685.9096949174254</v>
      </c>
      <c r="L106" s="116">
        <f>Core_Model!L13*-1</f>
        <v>1813.5807469314254</v>
      </c>
    </row>
    <row r="107" spans="2:12" ht="15.75">
      <c r="B107" s="8" t="s">
        <v>162</v>
      </c>
      <c r="C107" s="125"/>
      <c r="D107" s="19"/>
      <c r="E107" s="19"/>
      <c r="F107" s="19"/>
      <c r="G107" s="120"/>
      <c r="H107" s="116">
        <f>H166</f>
        <v>-109.35713249999999</v>
      </c>
      <c r="I107" s="116">
        <f>I166</f>
        <v>-320.63511248999998</v>
      </c>
      <c r="J107" s="116">
        <f>J166</f>
        <v>-518.65463373569992</v>
      </c>
      <c r="K107" s="116">
        <f>K166</f>
        <v>-705.38250613653906</v>
      </c>
      <c r="L107" s="116">
        <f>L166</f>
        <v>-881.25066543246578</v>
      </c>
    </row>
    <row r="108" spans="2:12" ht="15.75">
      <c r="B108" s="8" t="s">
        <v>163</v>
      </c>
      <c r="C108" s="125"/>
      <c r="D108" s="19"/>
      <c r="E108" s="19"/>
      <c r="F108" s="19"/>
      <c r="G108" s="21"/>
      <c r="H108" s="423">
        <f>SUM(H105:H107)</f>
        <v>16698.062617499992</v>
      </c>
      <c r="I108" s="423">
        <f>SUM(I105:I107)</f>
        <v>17991.012337010005</v>
      </c>
      <c r="J108" s="423">
        <f>SUM(J105:J107)</f>
        <v>19642.183928372309</v>
      </c>
      <c r="K108" s="423">
        <f>SUM(K105:K107)</f>
        <v>21278.41852826317</v>
      </c>
      <c r="L108" s="423">
        <f>SUM(L105:L107)</f>
        <v>22769.376289307838</v>
      </c>
    </row>
    <row r="109" spans="2:12" ht="15.75">
      <c r="B109" s="83"/>
      <c r="C109" s="125"/>
      <c r="D109" s="19"/>
      <c r="E109" s="19"/>
      <c r="F109" s="19"/>
      <c r="G109" s="120"/>
      <c r="H109" s="21"/>
      <c r="I109" s="21"/>
      <c r="J109" s="21"/>
      <c r="K109" s="21"/>
      <c r="L109" s="21"/>
    </row>
    <row r="110" spans="2:12" ht="16.5">
      <c r="B110" s="88" t="s">
        <v>164</v>
      </c>
      <c r="C110" s="125"/>
      <c r="D110" s="19"/>
      <c r="E110" s="19"/>
      <c r="F110" s="19"/>
      <c r="G110" s="120"/>
      <c r="H110" s="21"/>
      <c r="I110" s="21"/>
      <c r="J110" s="21"/>
      <c r="K110" s="21"/>
      <c r="L110" s="21"/>
    </row>
    <row r="111" spans="2:12" ht="15.75">
      <c r="B111" s="8" t="s">
        <v>163</v>
      </c>
      <c r="C111" s="125"/>
      <c r="D111" s="19"/>
      <c r="E111" s="19"/>
      <c r="F111" s="19"/>
      <c r="G111" s="21"/>
      <c r="H111" s="116">
        <f>H108</f>
        <v>16698.062617499992</v>
      </c>
      <c r="I111" s="116">
        <f>I108</f>
        <v>17991.012337010005</v>
      </c>
      <c r="J111" s="116">
        <f>J108</f>
        <v>19642.183928372309</v>
      </c>
      <c r="K111" s="116">
        <f>K108</f>
        <v>21278.41852826317</v>
      </c>
      <c r="L111" s="116">
        <f>L108</f>
        <v>22769.376289307838</v>
      </c>
    </row>
    <row r="112" spans="2:12" ht="16.5">
      <c r="B112" s="121" t="s">
        <v>165</v>
      </c>
      <c r="C112" s="125"/>
      <c r="D112" s="19"/>
      <c r="E112" s="19"/>
      <c r="F112" s="19"/>
      <c r="G112" s="120"/>
      <c r="H112" s="116">
        <f>H118</f>
        <v>0</v>
      </c>
      <c r="I112" s="116">
        <f>I118</f>
        <v>0</v>
      </c>
      <c r="J112" s="116">
        <f>J118</f>
        <v>0</v>
      </c>
      <c r="K112" s="116">
        <f>K118</f>
        <v>0</v>
      </c>
      <c r="L112" s="116">
        <f>L118</f>
        <v>0</v>
      </c>
    </row>
    <row r="113" spans="1:12" ht="15.75">
      <c r="B113" s="8" t="s">
        <v>166</v>
      </c>
      <c r="C113" s="125"/>
      <c r="D113" s="19"/>
      <c r="E113" s="19"/>
      <c r="F113" s="19"/>
      <c r="G113" s="120"/>
      <c r="H113" s="423">
        <f xml:space="preserve"> MAX(SUM(H111:H112),0)</f>
        <v>16698.062617499992</v>
      </c>
      <c r="I113" s="423">
        <f xml:space="preserve"> MAX(SUM(I111:I112),0)</f>
        <v>17991.012337010005</v>
      </c>
      <c r="J113" s="423">
        <f xml:space="preserve"> MAX(SUM(J111:J112),0)</f>
        <v>19642.183928372309</v>
      </c>
      <c r="K113" s="423">
        <f xml:space="preserve"> MAX(SUM(K111:K112),0)</f>
        <v>21278.41852826317</v>
      </c>
      <c r="L113" s="423">
        <f xml:space="preserve"> MAX(SUM(L111:L112),0)</f>
        <v>22769.376289307838</v>
      </c>
    </row>
    <row r="114" spans="1:12" ht="15.75">
      <c r="B114" s="83"/>
      <c r="C114" s="125"/>
      <c r="D114" s="19"/>
      <c r="E114" s="19"/>
      <c r="F114" s="19"/>
      <c r="G114" s="120"/>
      <c r="H114" s="120"/>
      <c r="I114" s="120"/>
      <c r="J114" s="120"/>
      <c r="K114" s="120"/>
      <c r="L114" s="120"/>
    </row>
    <row r="115" spans="1:12" ht="15.75">
      <c r="B115" s="88" t="s">
        <v>167</v>
      </c>
      <c r="C115" s="125"/>
      <c r="D115" s="19"/>
      <c r="E115" s="19"/>
      <c r="F115" s="19"/>
      <c r="G115" s="120"/>
      <c r="H115" s="120"/>
      <c r="I115" s="120"/>
      <c r="J115" s="120"/>
      <c r="K115" s="120"/>
      <c r="L115" s="120"/>
    </row>
    <row r="116" spans="1:12" ht="15.75">
      <c r="B116" s="8" t="s">
        <v>143</v>
      </c>
      <c r="C116" s="125"/>
      <c r="D116" s="19"/>
      <c r="E116" s="19"/>
      <c r="F116" s="19"/>
      <c r="G116" s="118"/>
      <c r="H116" s="116">
        <f>G119</f>
        <v>0</v>
      </c>
      <c r="I116" s="116">
        <f>H119</f>
        <v>0</v>
      </c>
      <c r="J116" s="116">
        <f>I119</f>
        <v>0</v>
      </c>
      <c r="K116" s="116">
        <f>J119</f>
        <v>0</v>
      </c>
      <c r="L116" s="116">
        <f>K119</f>
        <v>0</v>
      </c>
    </row>
    <row r="117" spans="1:12" ht="15.75">
      <c r="B117" s="8" t="s">
        <v>168</v>
      </c>
      <c r="C117" s="125"/>
      <c r="D117" s="19"/>
      <c r="E117" s="19"/>
      <c r="F117" s="19"/>
      <c r="G117" s="118"/>
      <c r="H117" s="116">
        <f>-MIN(H105,0)</f>
        <v>0</v>
      </c>
      <c r="I117" s="116">
        <f>-MIN(I105,0)</f>
        <v>0</v>
      </c>
      <c r="J117" s="116">
        <f>-MIN(J105,0)</f>
        <v>0</v>
      </c>
      <c r="K117" s="116">
        <f>-MIN(K105,0)</f>
        <v>0</v>
      </c>
      <c r="L117" s="116">
        <f>-MIN(L105,0)</f>
        <v>0</v>
      </c>
    </row>
    <row r="118" spans="1:12" ht="15.75">
      <c r="B118" s="121" t="s">
        <v>169</v>
      </c>
      <c r="C118" s="125"/>
      <c r="D118" s="19"/>
      <c r="E118" s="19"/>
      <c r="F118" s="19"/>
      <c r="G118" s="118"/>
      <c r="H118" s="116">
        <f>-MIN(H116,H111)*H102</f>
        <v>0</v>
      </c>
      <c r="I118" s="116">
        <f>-MIN(I116,I111)*I102</f>
        <v>0</v>
      </c>
      <c r="J118" s="116">
        <f>-MIN(J116,J111)*J102</f>
        <v>0</v>
      </c>
      <c r="K118" s="116">
        <f>-MIN(K116,K111)*K102</f>
        <v>0</v>
      </c>
      <c r="L118" s="116">
        <f>-MIN(L116,L111)*L102</f>
        <v>0</v>
      </c>
    </row>
    <row r="119" spans="1:12" ht="15.75">
      <c r="B119" s="8" t="s">
        <v>75</v>
      </c>
      <c r="C119" s="125"/>
      <c r="D119" s="19"/>
      <c r="E119" s="19"/>
      <c r="F119" s="19"/>
      <c r="G119" s="425">
        <f>Assumptions!D69</f>
        <v>0</v>
      </c>
      <c r="H119" s="423">
        <f>SUM(H116:H118)</f>
        <v>0</v>
      </c>
      <c r="I119" s="423">
        <f>SUM(I116:I118)</f>
        <v>0</v>
      </c>
      <c r="J119" s="423">
        <f>SUM(J116:J118)</f>
        <v>0</v>
      </c>
      <c r="K119" s="423">
        <f>SUM(K116:K118)</f>
        <v>0</v>
      </c>
      <c r="L119" s="423">
        <f>SUM(L116:L118)</f>
        <v>0</v>
      </c>
    </row>
    <row r="120" spans="1:12" ht="15.75">
      <c r="B120" s="83"/>
      <c r="C120" s="125"/>
      <c r="D120" s="19"/>
      <c r="E120" s="19"/>
      <c r="F120" s="19"/>
      <c r="G120" s="118"/>
      <c r="H120" s="118"/>
      <c r="I120" s="118"/>
      <c r="J120" s="118"/>
      <c r="K120" s="118"/>
      <c r="L120" s="118"/>
    </row>
    <row r="121" spans="1:12" ht="15.75">
      <c r="B121" s="12" t="s">
        <v>170</v>
      </c>
      <c r="C121" s="125"/>
      <c r="D121" s="19"/>
      <c r="E121" s="19"/>
      <c r="F121" s="19"/>
      <c r="G121" s="118"/>
      <c r="H121" s="118"/>
      <c r="I121" s="118"/>
      <c r="J121" s="118"/>
      <c r="K121" s="118"/>
      <c r="L121" s="118"/>
    </row>
    <row r="122" spans="1:12" ht="15.75">
      <c r="B122" s="8" t="s">
        <v>171</v>
      </c>
      <c r="C122" s="125"/>
      <c r="D122" s="19"/>
      <c r="E122" s="19"/>
      <c r="F122" s="101"/>
      <c r="G122" s="116"/>
      <c r="H122" s="116">
        <f>$D$98*H113</f>
        <v>4341.4962805499981</v>
      </c>
      <c r="I122" s="116">
        <f>$D$98*I113</f>
        <v>4677.6632076226015</v>
      </c>
      <c r="J122" s="116">
        <f>$D$98*J113</f>
        <v>5106.9678213768002</v>
      </c>
      <c r="K122" s="116">
        <f>$D$98*K113</f>
        <v>5532.3888173484247</v>
      </c>
      <c r="L122" s="116">
        <f>$D$98*L113</f>
        <v>5920.0378352200378</v>
      </c>
    </row>
    <row r="123" spans="1:12" ht="15.75">
      <c r="B123" s="8" t="s">
        <v>29</v>
      </c>
      <c r="C123" s="125"/>
      <c r="D123" s="19"/>
      <c r="E123" s="19"/>
      <c r="F123" s="19"/>
      <c r="G123" s="118"/>
      <c r="H123" s="116">
        <f>H124-H122</f>
        <v>-323.60796187653023</v>
      </c>
      <c r="I123" s="116">
        <f>I124-I122</f>
        <v>-295.22363707913155</v>
      </c>
      <c r="J123" s="116">
        <f>J124-J122</f>
        <v>-272.46344345524903</v>
      </c>
      <c r="K123" s="116">
        <f>K124-K122</f>
        <v>-254.93706908303102</v>
      </c>
      <c r="L123" s="116">
        <f>L124-L122</f>
        <v>-242.40582118972907</v>
      </c>
    </row>
    <row r="124" spans="1:12" ht="15.75">
      <c r="B124" s="8" t="s">
        <v>172</v>
      </c>
      <c r="C124" s="125"/>
      <c r="D124" s="19"/>
      <c r="E124" s="19"/>
      <c r="F124" s="19"/>
      <c r="G124" s="118"/>
      <c r="H124" s="418">
        <f>MAX($D$98*H105,0)</f>
        <v>4017.8883186734679</v>
      </c>
      <c r="I124" s="418">
        <f>MAX($D$98*I105,0)</f>
        <v>4382.4395705434699</v>
      </c>
      <c r="J124" s="418">
        <f>MAX($D$98*J105,0)</f>
        <v>4834.5043779215512</v>
      </c>
      <c r="K124" s="418">
        <f>MAX($D$98*K105,0)</f>
        <v>5277.4517482653937</v>
      </c>
      <c r="L124" s="418">
        <f>MAX($D$98*L105,0)</f>
        <v>5677.6320140303087</v>
      </c>
    </row>
    <row r="125" spans="1:12" ht="15.75">
      <c r="B125" s="8"/>
      <c r="C125" s="125"/>
      <c r="D125" s="19"/>
      <c r="E125" s="19"/>
      <c r="F125" s="19"/>
      <c r="G125" s="120"/>
      <c r="H125" s="123"/>
      <c r="I125" s="123"/>
      <c r="J125" s="123"/>
      <c r="K125" s="123"/>
      <c r="L125" s="123"/>
    </row>
    <row r="126" spans="1:12" ht="26.25">
      <c r="A126" s="124" t="s">
        <v>76</v>
      </c>
      <c r="B126" s="26" t="s">
        <v>219</v>
      </c>
      <c r="C126" s="126"/>
      <c r="D126" s="102"/>
      <c r="E126" s="102"/>
      <c r="F126" s="102"/>
      <c r="G126" s="102"/>
      <c r="H126" s="102"/>
      <c r="I126" s="102"/>
      <c r="J126" s="102"/>
      <c r="K126" s="102"/>
      <c r="L126" s="102"/>
    </row>
    <row r="127" spans="1:12" ht="26.25">
      <c r="B127" s="24" t="str">
        <f t="shared" ref="B127:L127" si="11">B96</f>
        <v>Particulars</v>
      </c>
      <c r="C127" s="127" t="str">
        <f t="shared" si="11"/>
        <v xml:space="preserve"> </v>
      </c>
      <c r="D127" s="25" t="str">
        <f t="shared" si="11"/>
        <v xml:space="preserve"> </v>
      </c>
      <c r="E127" s="55">
        <f t="shared" si="11"/>
        <v>2023</v>
      </c>
      <c r="F127" s="55">
        <f t="shared" si="11"/>
        <v>2024</v>
      </c>
      <c r="G127" s="55">
        <f t="shared" si="11"/>
        <v>2025</v>
      </c>
      <c r="H127" s="103">
        <f t="shared" si="11"/>
        <v>2026</v>
      </c>
      <c r="I127" s="103">
        <f t="shared" si="11"/>
        <v>2027</v>
      </c>
      <c r="J127" s="103">
        <f t="shared" si="11"/>
        <v>2028</v>
      </c>
      <c r="K127" s="103">
        <f t="shared" si="11"/>
        <v>2029</v>
      </c>
      <c r="L127" s="103">
        <f t="shared" si="11"/>
        <v>2030</v>
      </c>
    </row>
    <row r="128" spans="1:12" ht="15.75">
      <c r="C128" s="125"/>
      <c r="D128" s="19"/>
      <c r="E128" s="19"/>
      <c r="F128" s="19"/>
      <c r="G128" s="19"/>
      <c r="H128" s="20"/>
      <c r="I128" s="20"/>
      <c r="J128" s="20"/>
      <c r="K128" s="20"/>
      <c r="L128" s="20"/>
    </row>
    <row r="129" spans="2:12" ht="15.75">
      <c r="B129" s="323" t="s">
        <v>89</v>
      </c>
      <c r="C129" s="331"/>
      <c r="D129" s="332">
        <f>Assumptions!H53</f>
        <v>0.26</v>
      </c>
      <c r="E129" s="19"/>
      <c r="F129" s="19"/>
      <c r="G129" s="19"/>
      <c r="H129" s="20"/>
      <c r="I129" s="20"/>
      <c r="J129" s="20"/>
      <c r="K129" s="20"/>
      <c r="L129" s="20"/>
    </row>
    <row r="130" spans="2:12" ht="15.75">
      <c r="B130" s="333" t="s">
        <v>160</v>
      </c>
      <c r="C130" s="334"/>
      <c r="D130" s="335">
        <f>IF(L150=0,0,1)</f>
        <v>0</v>
      </c>
    </row>
    <row r="131" spans="2:12" ht="15.75">
      <c r="E131" s="19"/>
      <c r="F131" s="19"/>
      <c r="G131" s="19"/>
      <c r="H131" s="20"/>
      <c r="I131" s="20"/>
      <c r="J131" s="20"/>
      <c r="K131" s="20"/>
      <c r="L131" s="20"/>
    </row>
    <row r="132" spans="2:12" ht="15.75">
      <c r="B132" s="34" t="s">
        <v>217</v>
      </c>
      <c r="C132" s="125"/>
      <c r="D132" s="19"/>
      <c r="E132" s="19"/>
      <c r="F132" s="101"/>
      <c r="G132" s="21"/>
      <c r="H132" s="422">
        <f>Core_Model!H14</f>
        <v>14459.160860282569</v>
      </c>
      <c r="I132" s="423">
        <f>Core_Model!I14</f>
        <v>15779.860288282576</v>
      </c>
      <c r="J132" s="423">
        <f>Core_Model!J14</f>
        <v>17432.516964170583</v>
      </c>
      <c r="K132" s="423">
        <f>Core_Model!K14</f>
        <v>19054.839551236881</v>
      </c>
      <c r="L132" s="424">
        <f>Core_Model!L14</f>
        <v>20515.411312268756</v>
      </c>
    </row>
    <row r="133" spans="2:12" ht="15.75">
      <c r="B133" s="34" t="s">
        <v>159</v>
      </c>
      <c r="C133" s="125"/>
      <c r="D133" s="19"/>
      <c r="E133" s="19"/>
      <c r="F133" s="19"/>
      <c r="G133" s="19"/>
      <c r="H133" s="336">
        <f>IF(H139&gt;0,1,0)</f>
        <v>1</v>
      </c>
      <c r="I133" s="337">
        <f>IF(I139&gt;0,1,0)</f>
        <v>1</v>
      </c>
      <c r="J133" s="337">
        <f>IF(J139&gt;0,1,0)</f>
        <v>1</v>
      </c>
      <c r="K133" s="337">
        <f>IF(K139&gt;0,1,0)</f>
        <v>1</v>
      </c>
      <c r="L133" s="338">
        <f>IF(L139&gt;0,1,0)</f>
        <v>1</v>
      </c>
    </row>
    <row r="134" spans="2:12" ht="15.75">
      <c r="B134" s="83"/>
      <c r="C134" s="125"/>
      <c r="D134" s="119"/>
      <c r="E134" s="19"/>
      <c r="F134" s="19"/>
      <c r="G134" s="19"/>
      <c r="H134" s="20"/>
      <c r="I134" s="20"/>
      <c r="J134" s="20"/>
      <c r="K134" s="20"/>
      <c r="L134" s="20"/>
    </row>
    <row r="135" spans="2:12" ht="15.75">
      <c r="B135" s="12" t="s">
        <v>161</v>
      </c>
      <c r="C135" s="125"/>
      <c r="D135" s="19"/>
      <c r="E135" s="19"/>
      <c r="F135" s="19"/>
      <c r="G135" s="118"/>
      <c r="H135" s="118"/>
      <c r="I135" s="118"/>
      <c r="J135" s="118"/>
      <c r="K135" s="118"/>
      <c r="L135" s="118"/>
    </row>
    <row r="136" spans="2:12" ht="15.75">
      <c r="B136" s="8" t="s">
        <v>9</v>
      </c>
      <c r="C136" s="125"/>
      <c r="D136" s="19"/>
      <c r="E136" s="19"/>
      <c r="F136" s="19"/>
      <c r="G136" s="116"/>
      <c r="H136" s="116">
        <f>H132</f>
        <v>14459.160860282569</v>
      </c>
      <c r="I136" s="116">
        <f>I132</f>
        <v>15779.860288282576</v>
      </c>
      <c r="J136" s="116">
        <f>J132</f>
        <v>17432.516964170583</v>
      </c>
      <c r="K136" s="116">
        <f>K132</f>
        <v>19054.839551236881</v>
      </c>
      <c r="L136" s="116">
        <f>L132</f>
        <v>20515.411312268756</v>
      </c>
    </row>
    <row r="137" spans="2:12" ht="15.75">
      <c r="B137" s="8" t="s">
        <v>173</v>
      </c>
      <c r="C137" s="125"/>
      <c r="D137" s="19"/>
      <c r="E137" s="19"/>
      <c r="F137" s="19"/>
      <c r="G137" s="118"/>
      <c r="H137" s="116">
        <f>Core_Model!H13*-1</f>
        <v>1354.0031397174255</v>
      </c>
      <c r="I137" s="116">
        <f>Core_Model!I13*-1</f>
        <v>1456.1106397174256</v>
      </c>
      <c r="J137" s="116">
        <f>Core_Model!J13*-1</f>
        <v>1566.5909547174256</v>
      </c>
      <c r="K137" s="116">
        <f>Core_Model!K13*-1</f>
        <v>1685.9096949174254</v>
      </c>
      <c r="L137" s="116">
        <f>Core_Model!L13*-1</f>
        <v>1813.5807469314254</v>
      </c>
    </row>
    <row r="138" spans="2:12" ht="15.75">
      <c r="B138" s="8" t="s">
        <v>162</v>
      </c>
      <c r="C138" s="125"/>
      <c r="D138" s="19"/>
      <c r="E138" s="19"/>
      <c r="F138" s="19"/>
      <c r="G138" s="118"/>
      <c r="H138" s="116">
        <f>H166</f>
        <v>-109.35713249999999</v>
      </c>
      <c r="I138" s="116">
        <f t="shared" ref="I138:L138" si="12">I166</f>
        <v>-320.63511248999998</v>
      </c>
      <c r="J138" s="116">
        <f t="shared" si="12"/>
        <v>-518.65463373569992</v>
      </c>
      <c r="K138" s="116">
        <f t="shared" si="12"/>
        <v>-705.38250613653906</v>
      </c>
      <c r="L138" s="116">
        <f t="shared" si="12"/>
        <v>-881.25066543246578</v>
      </c>
    </row>
    <row r="139" spans="2:12" ht="15.75">
      <c r="B139" s="8" t="s">
        <v>163</v>
      </c>
      <c r="C139" s="125"/>
      <c r="D139" s="19"/>
      <c r="E139" s="19"/>
      <c r="F139" s="19"/>
      <c r="G139" s="116"/>
      <c r="H139" s="423">
        <f>SUM(H136:H138)</f>
        <v>15703.806867499996</v>
      </c>
      <c r="I139" s="423">
        <f>SUM(I136:I138)</f>
        <v>16915.335815510003</v>
      </c>
      <c r="J139" s="423">
        <f>SUM(J136:J138)</f>
        <v>18480.453285152311</v>
      </c>
      <c r="K139" s="423">
        <f>SUM(K136:K138)</f>
        <v>20035.366740017769</v>
      </c>
      <c r="L139" s="423">
        <f>SUM(L136:L138)</f>
        <v>21447.741393767716</v>
      </c>
    </row>
    <row r="140" spans="2:12" ht="15.75">
      <c r="B140" s="83"/>
      <c r="C140" s="125"/>
      <c r="D140" s="19"/>
      <c r="E140" s="19"/>
      <c r="F140" s="19"/>
      <c r="G140" s="118"/>
      <c r="H140" s="116"/>
      <c r="I140" s="116"/>
      <c r="J140" s="116"/>
      <c r="K140" s="116"/>
      <c r="L140" s="116"/>
    </row>
    <row r="141" spans="2:12" ht="15.75">
      <c r="B141" s="88" t="s">
        <v>314</v>
      </c>
      <c r="C141" s="125"/>
      <c r="D141" s="19"/>
      <c r="E141" s="19"/>
      <c r="F141" s="19"/>
      <c r="G141" s="118"/>
      <c r="H141" s="116"/>
      <c r="I141" s="116"/>
      <c r="J141" s="116"/>
      <c r="K141" s="116"/>
      <c r="L141" s="116"/>
    </row>
    <row r="142" spans="2:12" ht="15.75">
      <c r="B142" s="8" t="s">
        <v>163</v>
      </c>
      <c r="C142" s="125"/>
      <c r="D142" s="19"/>
      <c r="E142" s="19"/>
      <c r="F142" s="19"/>
      <c r="G142" s="116"/>
      <c r="H142" s="116">
        <f>H139</f>
        <v>15703.806867499996</v>
      </c>
      <c r="I142" s="116">
        <f>I139</f>
        <v>16915.335815510003</v>
      </c>
      <c r="J142" s="116">
        <f>J139</f>
        <v>18480.453285152311</v>
      </c>
      <c r="K142" s="116">
        <f>K139</f>
        <v>20035.366740017769</v>
      </c>
      <c r="L142" s="116">
        <f>L139</f>
        <v>21447.741393767716</v>
      </c>
    </row>
    <row r="143" spans="2:12" ht="16.5">
      <c r="B143" s="121" t="s">
        <v>165</v>
      </c>
      <c r="C143" s="125"/>
      <c r="D143" s="19"/>
      <c r="E143" s="19"/>
      <c r="F143" s="19"/>
      <c r="G143" s="118"/>
      <c r="H143" s="116">
        <f>H149</f>
        <v>0</v>
      </c>
      <c r="I143" s="116">
        <f>I149</f>
        <v>0</v>
      </c>
      <c r="J143" s="116">
        <f>J149</f>
        <v>0</v>
      </c>
      <c r="K143" s="116">
        <f>K149</f>
        <v>0</v>
      </c>
      <c r="L143" s="116">
        <f>L149</f>
        <v>0</v>
      </c>
    </row>
    <row r="144" spans="2:12" ht="15.75">
      <c r="B144" s="8" t="s">
        <v>166</v>
      </c>
      <c r="C144" s="125"/>
      <c r="D144" s="19"/>
      <c r="E144" s="19"/>
      <c r="F144" s="19"/>
      <c r="G144" s="118"/>
      <c r="H144" s="423">
        <f xml:space="preserve"> MAX(SUM(H142:H143),0)</f>
        <v>15703.806867499996</v>
      </c>
      <c r="I144" s="423">
        <f xml:space="preserve"> MAX(SUM(I142:I143),0)</f>
        <v>16915.335815510003</v>
      </c>
      <c r="J144" s="423">
        <f xml:space="preserve"> MAX(SUM(J142:J143),0)</f>
        <v>18480.453285152311</v>
      </c>
      <c r="K144" s="423">
        <f xml:space="preserve"> MAX(SUM(K142:K143),0)</f>
        <v>20035.366740017769</v>
      </c>
      <c r="L144" s="423">
        <f xml:space="preserve"> MAX(SUM(L142:L143),0)</f>
        <v>21447.741393767716</v>
      </c>
    </row>
    <row r="145" spans="1:12" ht="15.75">
      <c r="B145" s="83"/>
      <c r="C145" s="125"/>
      <c r="D145" s="19"/>
      <c r="E145" s="19"/>
      <c r="F145" s="19"/>
      <c r="G145" s="118"/>
      <c r="H145" s="118"/>
      <c r="I145" s="118"/>
      <c r="J145" s="118"/>
      <c r="K145" s="118"/>
      <c r="L145" s="118"/>
    </row>
    <row r="146" spans="1:12" ht="15.75">
      <c r="B146" s="88" t="s">
        <v>167</v>
      </c>
      <c r="C146" s="125"/>
      <c r="D146" s="19"/>
      <c r="E146" s="19"/>
      <c r="F146" s="19"/>
      <c r="G146" s="118"/>
      <c r="H146" s="118"/>
      <c r="I146" s="118"/>
      <c r="J146" s="118"/>
      <c r="K146" s="118"/>
      <c r="L146" s="118"/>
    </row>
    <row r="147" spans="1:12" ht="15.75">
      <c r="B147" s="8" t="s">
        <v>143</v>
      </c>
      <c r="C147" s="125"/>
      <c r="D147" s="19"/>
      <c r="E147" s="19"/>
      <c r="F147" s="19"/>
      <c r="G147" s="118"/>
      <c r="H147" s="116">
        <f>G150</f>
        <v>0</v>
      </c>
      <c r="I147" s="116">
        <f>H150</f>
        <v>0</v>
      </c>
      <c r="J147" s="116">
        <f>I150</f>
        <v>0</v>
      </c>
      <c r="K147" s="116">
        <f>J150</f>
        <v>0</v>
      </c>
      <c r="L147" s="116">
        <f>K150</f>
        <v>0</v>
      </c>
    </row>
    <row r="148" spans="1:12" ht="15.75">
      <c r="B148" s="8" t="s">
        <v>168</v>
      </c>
      <c r="C148" s="125"/>
      <c r="D148" s="19"/>
      <c r="E148" s="19"/>
      <c r="F148" s="19"/>
      <c r="G148" s="118"/>
      <c r="H148" s="116">
        <f>-MIN(H136,0)</f>
        <v>0</v>
      </c>
      <c r="I148" s="116">
        <f>-MIN(I136,0)</f>
        <v>0</v>
      </c>
      <c r="J148" s="116">
        <f>-MIN(J136,0)</f>
        <v>0</v>
      </c>
      <c r="K148" s="116">
        <f>-MIN(K136,0)</f>
        <v>0</v>
      </c>
      <c r="L148" s="116">
        <f>-MIN(L136,0)</f>
        <v>0</v>
      </c>
    </row>
    <row r="149" spans="1:12" ht="15.75">
      <c r="B149" s="121" t="s">
        <v>169</v>
      </c>
      <c r="C149" s="125"/>
      <c r="D149" s="19"/>
      <c r="E149" s="19"/>
      <c r="F149" s="19"/>
      <c r="G149" s="118"/>
      <c r="H149" s="116">
        <f>-MIN(H147,H142)*H133</f>
        <v>0</v>
      </c>
      <c r="I149" s="116">
        <f>-MIN(I147,I142)*I133</f>
        <v>0</v>
      </c>
      <c r="J149" s="116">
        <f>-MIN(J147,J142)*J133</f>
        <v>0</v>
      </c>
      <c r="K149" s="116">
        <f>-MIN(K147,K142)*K133</f>
        <v>0</v>
      </c>
      <c r="L149" s="116">
        <f>-MIN(L147,L142)*L133</f>
        <v>0</v>
      </c>
    </row>
    <row r="150" spans="1:12" ht="15.75">
      <c r="B150" s="8" t="s">
        <v>75</v>
      </c>
      <c r="C150" s="125"/>
      <c r="D150" s="19"/>
      <c r="E150" s="19"/>
      <c r="F150" s="19"/>
      <c r="G150" s="425">
        <f>Assumptions!D69</f>
        <v>0</v>
      </c>
      <c r="H150" s="423">
        <f>SUM(H147:H149)</f>
        <v>0</v>
      </c>
      <c r="I150" s="423">
        <f>SUM(I147:I149)</f>
        <v>0</v>
      </c>
      <c r="J150" s="423">
        <f>SUM(J147:J149)</f>
        <v>0</v>
      </c>
      <c r="K150" s="423">
        <f>SUM(K147:K149)</f>
        <v>0</v>
      </c>
      <c r="L150" s="423">
        <f>SUM(L147:L149)</f>
        <v>0</v>
      </c>
    </row>
    <row r="151" spans="1:12" ht="15.75">
      <c r="B151" s="83"/>
      <c r="C151" s="125"/>
      <c r="D151" s="19"/>
      <c r="E151" s="19"/>
      <c r="F151" s="19"/>
      <c r="G151" s="118"/>
      <c r="H151" s="118"/>
      <c r="I151" s="118"/>
      <c r="J151" s="118"/>
      <c r="K151" s="118"/>
      <c r="L151" s="118"/>
    </row>
    <row r="152" spans="1:12" ht="15.75">
      <c r="B152" s="12" t="s">
        <v>170</v>
      </c>
      <c r="C152" s="125"/>
      <c r="D152" s="19"/>
      <c r="E152" s="19"/>
      <c r="F152" s="19"/>
      <c r="G152" s="118"/>
      <c r="H152" s="118"/>
      <c r="I152" s="118"/>
      <c r="J152" s="118"/>
      <c r="K152" s="118"/>
      <c r="L152" s="118"/>
    </row>
    <row r="153" spans="1:12" ht="15.75">
      <c r="B153" s="8" t="s">
        <v>171</v>
      </c>
      <c r="C153" s="125"/>
      <c r="D153" s="19"/>
      <c r="E153" s="19"/>
      <c r="F153" s="101"/>
      <c r="G153" s="116"/>
      <c r="H153" s="116">
        <f>$D$129*H144</f>
        <v>4082.9897855499989</v>
      </c>
      <c r="I153" s="116">
        <f>$D$129*I144</f>
        <v>4397.987312032601</v>
      </c>
      <c r="J153" s="116">
        <f>$D$129*J144</f>
        <v>4804.9178541396013</v>
      </c>
      <c r="K153" s="116">
        <f>$D$129*K144</f>
        <v>5209.1953524046203</v>
      </c>
      <c r="L153" s="116">
        <f>$D$129*L144</f>
        <v>5576.4127623796066</v>
      </c>
    </row>
    <row r="154" spans="1:12" ht="15.75">
      <c r="B154" s="8" t="s">
        <v>29</v>
      </c>
      <c r="C154" s="125"/>
      <c r="D154" s="19"/>
      <c r="E154" s="19"/>
      <c r="F154" s="19"/>
      <c r="G154" s="118"/>
      <c r="H154" s="116">
        <f>H155-H153</f>
        <v>-323.60796187653068</v>
      </c>
      <c r="I154" s="116">
        <f>I155-I153</f>
        <v>-295.22363707913064</v>
      </c>
      <c r="J154" s="116">
        <f>J155-J153</f>
        <v>-272.46344345524994</v>
      </c>
      <c r="K154" s="116">
        <f>K155-K153</f>
        <v>-254.93706908303102</v>
      </c>
      <c r="L154" s="116">
        <f>L155-L153</f>
        <v>-242.40582118972998</v>
      </c>
    </row>
    <row r="155" spans="1:12" ht="15.75">
      <c r="B155" s="8" t="s">
        <v>172</v>
      </c>
      <c r="C155" s="125"/>
      <c r="D155" s="19"/>
      <c r="E155" s="19"/>
      <c r="F155" s="19"/>
      <c r="G155" s="118"/>
      <c r="H155" s="418">
        <f>MAX($D$129*H136,0)</f>
        <v>3759.3818236734683</v>
      </c>
      <c r="I155" s="418">
        <f>MAX($D$129*I136,0)</f>
        <v>4102.7636749534704</v>
      </c>
      <c r="J155" s="418">
        <f>MAX($D$129*J136,0)</f>
        <v>4532.4544106843514</v>
      </c>
      <c r="K155" s="418">
        <f>MAX($D$129*K136,0)</f>
        <v>4954.2582833215893</v>
      </c>
      <c r="L155" s="418">
        <f>MAX($D$129*L136,0)</f>
        <v>5334.0069411898767</v>
      </c>
    </row>
    <row r="156" spans="1:12" ht="15.75">
      <c r="B156" s="8"/>
      <c r="C156" s="125"/>
      <c r="D156" s="19"/>
      <c r="E156" s="19"/>
      <c r="F156" s="19"/>
      <c r="G156" s="120"/>
      <c r="H156" s="123"/>
      <c r="I156" s="123"/>
      <c r="J156" s="123"/>
      <c r="K156" s="123"/>
      <c r="L156" s="123"/>
    </row>
    <row r="157" spans="1:12" ht="26.25">
      <c r="A157" s="124" t="s">
        <v>76</v>
      </c>
      <c r="B157" s="26" t="s">
        <v>200</v>
      </c>
      <c r="C157" s="126"/>
      <c r="D157" s="102"/>
      <c r="E157" s="102"/>
      <c r="F157" s="102"/>
      <c r="G157" s="102"/>
      <c r="H157" s="102"/>
      <c r="I157" s="102"/>
      <c r="J157" s="102"/>
      <c r="K157" s="102"/>
      <c r="L157" s="102"/>
    </row>
    <row r="158" spans="1:12" ht="26.25">
      <c r="B158" s="24" t="str">
        <f t="shared" ref="B158:L158" si="13">B127</f>
        <v>Particulars</v>
      </c>
      <c r="C158" s="127" t="str">
        <f t="shared" si="13"/>
        <v xml:space="preserve"> </v>
      </c>
      <c r="D158" s="25" t="str">
        <f t="shared" si="13"/>
        <v xml:space="preserve"> </v>
      </c>
      <c r="E158" s="55">
        <f t="shared" si="13"/>
        <v>2023</v>
      </c>
      <c r="F158" s="55">
        <f t="shared" si="13"/>
        <v>2024</v>
      </c>
      <c r="G158" s="55">
        <f t="shared" si="13"/>
        <v>2025</v>
      </c>
      <c r="H158" s="103">
        <f t="shared" si="13"/>
        <v>2026</v>
      </c>
      <c r="I158" s="103">
        <f t="shared" si="13"/>
        <v>2027</v>
      </c>
      <c r="J158" s="103">
        <f t="shared" si="13"/>
        <v>2028</v>
      </c>
      <c r="K158" s="103">
        <f t="shared" si="13"/>
        <v>2029</v>
      </c>
      <c r="L158" s="103">
        <f t="shared" si="13"/>
        <v>2030</v>
      </c>
    </row>
    <row r="159" spans="1:12" ht="16.5" customHeight="1">
      <c r="B159" s="134"/>
      <c r="C159" s="129"/>
      <c r="D159" s="135"/>
      <c r="E159" s="136"/>
      <c r="F159" s="136"/>
      <c r="G159" s="136"/>
      <c r="H159" s="137"/>
      <c r="I159" s="137"/>
      <c r="J159" s="137"/>
      <c r="K159" s="137"/>
      <c r="L159" s="137"/>
    </row>
    <row r="160" spans="1:12" ht="16.5" customHeight="1">
      <c r="B160" s="323" t="s">
        <v>90</v>
      </c>
      <c r="C160" s="339"/>
      <c r="D160" s="340">
        <f>Assumptions!D66</f>
        <v>0.5</v>
      </c>
      <c r="E160" s="136"/>
      <c r="F160" s="136"/>
      <c r="G160" s="136"/>
      <c r="H160" s="137"/>
      <c r="I160" s="137"/>
      <c r="J160" s="137"/>
      <c r="K160" s="137"/>
      <c r="L160" s="137"/>
    </row>
    <row r="161" spans="2:13" ht="16.5" customHeight="1">
      <c r="B161" s="341" t="s">
        <v>91</v>
      </c>
      <c r="C161" s="342"/>
      <c r="D161" s="343">
        <f>Assumptions!D67</f>
        <v>0.15</v>
      </c>
      <c r="E161" s="136"/>
      <c r="F161" s="136"/>
      <c r="G161" s="136"/>
      <c r="H161" s="137"/>
      <c r="I161" s="137"/>
      <c r="J161" s="137"/>
      <c r="K161" s="137"/>
      <c r="L161" s="137"/>
    </row>
    <row r="162" spans="2:13" ht="16.5" customHeight="1">
      <c r="B162" s="134"/>
      <c r="C162" s="129"/>
      <c r="D162" s="135"/>
      <c r="E162" s="136"/>
      <c r="F162" s="136"/>
      <c r="G162" s="136"/>
      <c r="H162" s="137"/>
      <c r="I162" s="137"/>
      <c r="J162" s="137"/>
      <c r="K162" s="137"/>
      <c r="L162" s="137"/>
    </row>
    <row r="163" spans="2:13" ht="15.75">
      <c r="B163" s="88" t="s">
        <v>175</v>
      </c>
    </row>
    <row r="164" spans="2:13" ht="15.75">
      <c r="B164" s="8" t="s">
        <v>143</v>
      </c>
      <c r="C164" s="125"/>
      <c r="D164" s="19"/>
      <c r="E164" s="19"/>
      <c r="F164" s="19"/>
      <c r="G164" s="116"/>
      <c r="H164" s="116">
        <f>G167</f>
        <v>0</v>
      </c>
      <c r="I164" s="116">
        <f t="shared" ref="I164:L164" si="14">H167</f>
        <v>1348.7379675</v>
      </c>
      <c r="J164" s="116">
        <f t="shared" si="14"/>
        <v>2605.7617532099994</v>
      </c>
      <c r="K164" s="116">
        <f t="shared" si="14"/>
        <v>3790.9787295302999</v>
      </c>
      <c r="L164" s="116">
        <f t="shared" si="14"/>
        <v>4908.7388461536812</v>
      </c>
    </row>
    <row r="165" spans="2:13" ht="15.75">
      <c r="B165" s="8" t="s">
        <v>49</v>
      </c>
      <c r="C165" s="125"/>
      <c r="D165" s="19"/>
      <c r="E165" s="19"/>
      <c r="F165" s="19"/>
      <c r="G165" s="116"/>
      <c r="H165" s="116">
        <f>Assumptions!H38</f>
        <v>1458.0951</v>
      </c>
      <c r="I165" s="116">
        <f>Assumptions!I38</f>
        <v>1577.6588981999998</v>
      </c>
      <c r="J165" s="116">
        <f>Assumptions!J38</f>
        <v>1703.8716100560002</v>
      </c>
      <c r="K165" s="116">
        <f>Assumptions!K38</f>
        <v>1823.1426227599204</v>
      </c>
      <c r="L165" s="116">
        <f>Assumptions!L38</f>
        <v>1932.5311801255157</v>
      </c>
    </row>
    <row r="166" spans="2:13" ht="15.75" customHeight="1">
      <c r="B166" s="8" t="s">
        <v>174</v>
      </c>
      <c r="C166" s="128"/>
      <c r="D166" s="89"/>
      <c r="E166" s="89"/>
      <c r="F166" s="89"/>
      <c r="G166" s="426"/>
      <c r="H166" s="116">
        <f>-(H164+H165*$D$160)*$D$161</f>
        <v>-109.35713249999999</v>
      </c>
      <c r="I166" s="116">
        <f>-(I164+I165*$D$160)*$D$161</f>
        <v>-320.63511248999998</v>
      </c>
      <c r="J166" s="116">
        <f>-(J164+J165*$D$160)*$D$161</f>
        <v>-518.65463373569992</v>
      </c>
      <c r="K166" s="116">
        <f>-(K164+K165*$D$160)*$D$161</f>
        <v>-705.38250613653906</v>
      </c>
      <c r="L166" s="116">
        <f>-(L164+L165*$D$160)*$D$161</f>
        <v>-881.25066543246578</v>
      </c>
    </row>
    <row r="167" spans="2:13" ht="15.75">
      <c r="B167" s="8" t="s">
        <v>75</v>
      </c>
      <c r="C167" s="125"/>
      <c r="D167" s="19"/>
      <c r="E167" s="19"/>
      <c r="F167" s="122"/>
      <c r="G167" s="427">
        <f>Assumptions!D68</f>
        <v>0</v>
      </c>
      <c r="H167" s="349">
        <f>SUM(H164:H166)</f>
        <v>1348.7379675</v>
      </c>
      <c r="I167" s="349">
        <f t="shared" ref="I167:L167" si="15">SUM(I164:I166)</f>
        <v>2605.7617532099994</v>
      </c>
      <c r="J167" s="349">
        <f t="shared" si="15"/>
        <v>3790.9787295302999</v>
      </c>
      <c r="K167" s="349">
        <f t="shared" si="15"/>
        <v>4908.7388461536812</v>
      </c>
      <c r="L167" s="349">
        <f t="shared" si="15"/>
        <v>5960.0193608467307</v>
      </c>
      <c r="M167" s="20"/>
    </row>
    <row r="168" spans="2:13">
      <c r="G168" s="56"/>
      <c r="H168" s="56"/>
      <c r="I168" s="56"/>
      <c r="J168" s="56"/>
      <c r="K168" s="56"/>
      <c r="L168" s="56"/>
    </row>
    <row r="169" spans="2:13" ht="15.75">
      <c r="B169" s="12" t="s">
        <v>64</v>
      </c>
      <c r="C169" s="125"/>
      <c r="D169" s="19"/>
      <c r="E169" s="19"/>
      <c r="F169" s="19"/>
      <c r="G169" s="118"/>
      <c r="H169" s="118"/>
      <c r="I169" s="118"/>
      <c r="J169" s="118"/>
      <c r="K169" s="118"/>
      <c r="L169" s="118"/>
    </row>
    <row r="170" spans="2:13" ht="15.75">
      <c r="B170" s="8" t="s">
        <v>65</v>
      </c>
      <c r="C170" s="125"/>
      <c r="D170" s="19"/>
      <c r="E170" s="19"/>
      <c r="F170" s="19"/>
      <c r="G170" s="116"/>
      <c r="H170" s="116">
        <f>G172</f>
        <v>0</v>
      </c>
      <c r="I170" s="116">
        <f>H172</f>
        <v>0</v>
      </c>
      <c r="J170" s="116">
        <f>I172</f>
        <v>0</v>
      </c>
      <c r="K170" s="116">
        <f>J172</f>
        <v>0</v>
      </c>
      <c r="L170" s="116">
        <f>K172</f>
        <v>0</v>
      </c>
    </row>
    <row r="171" spans="2:13" ht="15.75">
      <c r="B171" s="8" t="s">
        <v>56</v>
      </c>
      <c r="C171" s="125"/>
      <c r="D171" s="19"/>
      <c r="E171" s="19"/>
      <c r="F171" s="19"/>
      <c r="G171" s="118"/>
      <c r="H171" s="116">
        <f>Assumptions!H51</f>
        <v>0</v>
      </c>
      <c r="I171" s="116">
        <f>Assumptions!I51</f>
        <v>0</v>
      </c>
      <c r="J171" s="116">
        <f>Assumptions!J51</f>
        <v>0</v>
      </c>
      <c r="K171" s="116">
        <f>Assumptions!K51</f>
        <v>0</v>
      </c>
      <c r="L171" s="116">
        <f>Assumptions!L51</f>
        <v>0</v>
      </c>
    </row>
    <row r="172" spans="2:13" ht="15.75">
      <c r="B172" s="8" t="s">
        <v>66</v>
      </c>
      <c r="C172" s="125"/>
      <c r="D172" s="19"/>
      <c r="E172" s="19"/>
      <c r="F172" s="19"/>
      <c r="G172" s="349">
        <f>Core_Model!G54</f>
        <v>0</v>
      </c>
      <c r="H172" s="349">
        <f>SUM(H170:H171)</f>
        <v>0</v>
      </c>
      <c r="I172" s="349">
        <f>SUM(I170:I171)</f>
        <v>0</v>
      </c>
      <c r="J172" s="349">
        <f>SUM(J170:J171)</f>
        <v>0</v>
      </c>
      <c r="K172" s="349">
        <f>SUM(K170:K171)</f>
        <v>0</v>
      </c>
      <c r="L172" s="349">
        <f>SUM(L170:L171)</f>
        <v>0</v>
      </c>
    </row>
    <row r="173" spans="2:13">
      <c r="G173" s="56"/>
      <c r="H173" s="56"/>
      <c r="I173" s="56"/>
      <c r="J173" s="56"/>
      <c r="K173" s="56"/>
      <c r="L173" s="56"/>
    </row>
    <row r="174" spans="2:13" ht="16.5">
      <c r="B174" s="131" t="s">
        <v>178</v>
      </c>
      <c r="C174" s="138"/>
      <c r="D174" s="138"/>
      <c r="E174" s="138"/>
      <c r="F174" s="138"/>
      <c r="G174" s="346"/>
      <c r="H174" s="347"/>
      <c r="I174" s="347"/>
      <c r="J174" s="347"/>
      <c r="K174" s="347"/>
      <c r="L174" s="347"/>
    </row>
    <row r="175" spans="2:13" ht="16.5">
      <c r="B175" s="139" t="s">
        <v>180</v>
      </c>
      <c r="C175" s="138"/>
      <c r="D175" s="138"/>
      <c r="E175" s="138"/>
      <c r="F175" s="138"/>
      <c r="G175" s="346"/>
      <c r="H175" s="347">
        <f>H93</f>
        <v>0.05</v>
      </c>
      <c r="I175" s="347">
        <f>I93</f>
        <v>0</v>
      </c>
      <c r="J175" s="347">
        <f>J93</f>
        <v>0</v>
      </c>
      <c r="K175" s="347">
        <f>K93</f>
        <v>0</v>
      </c>
      <c r="L175" s="347">
        <f>L93</f>
        <v>2</v>
      </c>
    </row>
    <row r="176" spans="2:13" ht="16.5">
      <c r="B176" s="139" t="s">
        <v>179</v>
      </c>
      <c r="C176" s="138"/>
      <c r="D176" s="138"/>
      <c r="E176" s="138"/>
      <c r="F176" s="138"/>
      <c r="G176" s="346"/>
      <c r="H176" s="347">
        <f>AVERAGE(H170,H172)*Assumptions!H56</f>
        <v>0</v>
      </c>
      <c r="I176" s="347">
        <f>AVERAGE(I170,I172)*Assumptions!I56</f>
        <v>0</v>
      </c>
      <c r="J176" s="347">
        <f>AVERAGE(J170,J172)*Assumptions!J56</f>
        <v>0</v>
      </c>
      <c r="K176" s="347">
        <f>AVERAGE(K170,K172)*Assumptions!K56</f>
        <v>0</v>
      </c>
      <c r="L176" s="347">
        <f>AVERAGE(L170,L172)*Assumptions!L56</f>
        <v>0</v>
      </c>
    </row>
    <row r="177" spans="2:13" ht="16.5">
      <c r="B177" s="139" t="s">
        <v>153</v>
      </c>
      <c r="C177" s="138"/>
      <c r="D177" s="138"/>
      <c r="E177" s="138"/>
      <c r="F177" s="138"/>
      <c r="G177" s="346"/>
      <c r="H177" s="351">
        <f>SUM(H175:H176)</f>
        <v>0.05</v>
      </c>
      <c r="I177" s="351">
        <f t="shared" ref="I177:L177" si="16">SUM(I175:I176)</f>
        <v>0</v>
      </c>
      <c r="J177" s="351">
        <f t="shared" si="16"/>
        <v>0</v>
      </c>
      <c r="K177" s="351">
        <f t="shared" si="16"/>
        <v>0</v>
      </c>
      <c r="L177" s="351">
        <f t="shared" si="16"/>
        <v>2</v>
      </c>
    </row>
    <row r="178" spans="2:13">
      <c r="G178" s="56"/>
      <c r="H178" s="56"/>
      <c r="I178" s="56"/>
      <c r="J178" s="56"/>
      <c r="K178" s="56"/>
      <c r="L178" s="56"/>
    </row>
    <row r="179" spans="2:13" ht="15.75">
      <c r="B179" s="12" t="s">
        <v>73</v>
      </c>
      <c r="G179" s="56"/>
      <c r="H179" s="56"/>
      <c r="I179" s="56"/>
      <c r="J179" s="56"/>
      <c r="K179" s="56"/>
      <c r="L179" s="56"/>
    </row>
    <row r="180" spans="2:13" ht="15.75">
      <c r="B180" s="8" t="s">
        <v>65</v>
      </c>
      <c r="C180" s="18"/>
      <c r="D180" s="19"/>
      <c r="E180" s="19"/>
      <c r="F180" s="19"/>
      <c r="G180" s="116"/>
      <c r="H180" s="116">
        <f>G182</f>
        <v>235</v>
      </c>
      <c r="I180" s="116">
        <f t="shared" ref="I180:L180" si="17">H182</f>
        <v>235</v>
      </c>
      <c r="J180" s="116">
        <f t="shared" si="17"/>
        <v>235</v>
      </c>
      <c r="K180" s="116">
        <f t="shared" si="17"/>
        <v>235</v>
      </c>
      <c r="L180" s="116">
        <f t="shared" si="17"/>
        <v>235</v>
      </c>
    </row>
    <row r="181" spans="2:13" ht="15.75">
      <c r="B181" s="8" t="s">
        <v>56</v>
      </c>
      <c r="C181" s="18"/>
      <c r="D181" s="19"/>
      <c r="E181" s="19"/>
      <c r="F181" s="19"/>
      <c r="G181" s="118"/>
      <c r="H181" s="116">
        <f>Assumptions!H52</f>
        <v>0</v>
      </c>
      <c r="I181" s="116">
        <f>Assumptions!I52</f>
        <v>0</v>
      </c>
      <c r="J181" s="116">
        <f>Assumptions!J52</f>
        <v>0</v>
      </c>
      <c r="K181" s="116">
        <f>Assumptions!K52</f>
        <v>0</v>
      </c>
      <c r="L181" s="116">
        <f>Assumptions!L52</f>
        <v>0</v>
      </c>
    </row>
    <row r="182" spans="2:13" ht="15.75">
      <c r="B182" s="8" t="s">
        <v>66</v>
      </c>
      <c r="C182" s="18"/>
      <c r="D182" s="19"/>
      <c r="E182" s="19"/>
      <c r="F182" s="19"/>
      <c r="G182" s="349">
        <f>Core_Model!G60</f>
        <v>235</v>
      </c>
      <c r="H182" s="349">
        <f>SUM(H180:H181)</f>
        <v>235</v>
      </c>
      <c r="I182" s="349">
        <f t="shared" ref="I182:L182" si="18">SUM(I180:I181)</f>
        <v>235</v>
      </c>
      <c r="J182" s="349">
        <f t="shared" si="18"/>
        <v>235</v>
      </c>
      <c r="K182" s="349">
        <f t="shared" si="18"/>
        <v>235</v>
      </c>
      <c r="L182" s="349">
        <f t="shared" si="18"/>
        <v>235</v>
      </c>
    </row>
    <row r="183" spans="2:13">
      <c r="G183" s="56"/>
      <c r="H183" s="56"/>
      <c r="I183" s="56"/>
      <c r="J183" s="56"/>
      <c r="K183" s="56"/>
      <c r="L183" s="56"/>
    </row>
    <row r="184" spans="2:13" ht="15.75">
      <c r="B184" s="12" t="s">
        <v>181</v>
      </c>
      <c r="C184" s="18"/>
      <c r="D184" s="19"/>
      <c r="E184" s="19"/>
      <c r="F184" s="19"/>
      <c r="G184" s="118"/>
      <c r="H184" s="118"/>
      <c r="I184" s="118"/>
      <c r="J184" s="118"/>
      <c r="K184" s="118"/>
      <c r="L184" s="118"/>
      <c r="M184" s="20"/>
    </row>
    <row r="185" spans="2:13" ht="15.75">
      <c r="B185" s="8" t="s">
        <v>65</v>
      </c>
      <c r="C185" s="18"/>
      <c r="D185" s="19"/>
      <c r="E185" s="19"/>
      <c r="F185" s="19"/>
      <c r="G185" s="116"/>
      <c r="H185" s="116">
        <f>G188</f>
        <v>49167</v>
      </c>
      <c r="I185" s="116">
        <f>H188</f>
        <v>50030.06498942848</v>
      </c>
      <c r="J185" s="116">
        <f>I188</f>
        <v>50980.67698663495</v>
      </c>
      <c r="K185" s="116">
        <f>J188</f>
        <v>52037.862294039638</v>
      </c>
      <c r="L185" s="116">
        <f>K188</f>
        <v>53198.707530283704</v>
      </c>
    </row>
    <row r="186" spans="2:13" ht="15.75">
      <c r="B186" s="8" t="s">
        <v>14</v>
      </c>
      <c r="C186" s="18"/>
      <c r="D186" s="19"/>
      <c r="E186" s="19"/>
      <c r="F186" s="19"/>
      <c r="G186" s="116"/>
      <c r="H186" s="116">
        <f>Core_Model!H25</f>
        <v>10788.312367856039</v>
      </c>
      <c r="I186" s="116">
        <f>Core_Model!I25</f>
        <v>11882.649965080844</v>
      </c>
      <c r="J186" s="116">
        <f>Core_Model!J25</f>
        <v>13214.816342558534</v>
      </c>
      <c r="K186" s="116">
        <f>Core_Model!K25</f>
        <v>14510.565453050825</v>
      </c>
      <c r="L186" s="116">
        <f>Core_Model!L25</f>
        <v>15674.602551399112</v>
      </c>
    </row>
    <row r="187" spans="2:13" ht="15.75">
      <c r="B187" s="8" t="s">
        <v>53</v>
      </c>
      <c r="C187" s="18"/>
      <c r="D187" s="19"/>
      <c r="E187" s="19"/>
      <c r="F187" s="19"/>
      <c r="G187" s="118"/>
      <c r="H187" s="116">
        <f>H186*Assumptions!H54*-1</f>
        <v>-9925.2473784275553</v>
      </c>
      <c r="I187" s="116">
        <f>I186*Assumptions!I54*-1</f>
        <v>-10932.037967874378</v>
      </c>
      <c r="J187" s="116">
        <f>J186*Assumptions!J54*-1</f>
        <v>-12157.63103515385</v>
      </c>
      <c r="K187" s="116">
        <f>K186*Assumptions!K54*-1</f>
        <v>-13349.72021680676</v>
      </c>
      <c r="L187" s="116">
        <f>L186*Assumptions!L54*-1</f>
        <v>-14420.634347287183</v>
      </c>
    </row>
    <row r="188" spans="2:13" ht="15.75">
      <c r="B188" s="8" t="s">
        <v>66</v>
      </c>
      <c r="C188" s="18"/>
      <c r="D188" s="19"/>
      <c r="E188" s="19"/>
      <c r="F188" s="19"/>
      <c r="G188" s="349">
        <f>Core_Model!G61</f>
        <v>49167</v>
      </c>
      <c r="H188" s="349">
        <f>SUM(H185:H187)</f>
        <v>50030.06498942848</v>
      </c>
      <c r="I188" s="349">
        <f>SUM(I185:I187)</f>
        <v>50980.67698663495</v>
      </c>
      <c r="J188" s="349">
        <f>SUM(J185:J187)</f>
        <v>52037.862294039638</v>
      </c>
      <c r="K188" s="349">
        <f>SUM(K185:K187)</f>
        <v>53198.707530283704</v>
      </c>
      <c r="L188" s="349">
        <f>SUM(L185:L187)</f>
        <v>54452.675734395627</v>
      </c>
    </row>
    <row r="189" spans="2:13">
      <c r="G189" s="56"/>
      <c r="H189" s="56"/>
      <c r="I189" s="56"/>
      <c r="J189" s="56"/>
      <c r="K189" s="56"/>
      <c r="L189" s="56"/>
    </row>
    <row r="190" spans="2:13" ht="15.75">
      <c r="B190" s="131" t="s">
        <v>182</v>
      </c>
      <c r="G190" s="56"/>
      <c r="H190" s="56"/>
      <c r="I190" s="56"/>
      <c r="J190" s="56"/>
      <c r="K190" s="56"/>
      <c r="L190" s="56"/>
    </row>
    <row r="191" spans="2:13">
      <c r="B191" s="13" t="s">
        <v>183</v>
      </c>
      <c r="G191" s="56"/>
      <c r="H191" s="56">
        <f>G194</f>
        <v>207</v>
      </c>
      <c r="I191" s="56">
        <f>H194</f>
        <v>246.27239100035925</v>
      </c>
      <c r="J191" s="56">
        <f>I194</f>
        <v>287.77086569683649</v>
      </c>
      <c r="K191" s="56">
        <f t="shared" ref="K191:L191" si="19">J194</f>
        <v>331.58048185962753</v>
      </c>
      <c r="L191" s="56">
        <f t="shared" si="19"/>
        <v>377.79317478889914</v>
      </c>
    </row>
    <row r="192" spans="2:13">
      <c r="B192" s="13" t="s">
        <v>186</v>
      </c>
      <c r="G192" s="56"/>
      <c r="H192" s="56">
        <f>H198*(1-0.5333)</f>
        <v>58.701891461849222</v>
      </c>
      <c r="I192" s="56">
        <f t="shared" ref="I192:L192" si="20">I198*(1-0.5333)</f>
        <v>61.899450181041686</v>
      </c>
      <c r="J192" s="56">
        <f t="shared" si="20"/>
        <v>65.230640421583757</v>
      </c>
      <c r="K192" s="56">
        <f t="shared" si="20"/>
        <v>68.70476840100396</v>
      </c>
      <c r="L192" s="56">
        <f t="shared" si="20"/>
        <v>72.331343183561046</v>
      </c>
      <c r="M192" t="s">
        <v>191</v>
      </c>
    </row>
    <row r="193" spans="1:12">
      <c r="B193" s="13" t="s">
        <v>184</v>
      </c>
      <c r="G193" s="56"/>
      <c r="H193" s="56">
        <f>H202*(1-0.8)*-1</f>
        <v>-19.429500461489994</v>
      </c>
      <c r="I193" s="56">
        <f t="shared" ref="I193:L193" si="21">I202*(1-0.8)*-1</f>
        <v>-20.400975484564498</v>
      </c>
      <c r="J193" s="56">
        <f t="shared" si="21"/>
        <v>-21.421024258792723</v>
      </c>
      <c r="K193" s="56">
        <f t="shared" si="21"/>
        <v>-22.49207547173236</v>
      </c>
      <c r="L193" s="56">
        <f t="shared" si="21"/>
        <v>-23.616679245318977</v>
      </c>
    </row>
    <row r="194" spans="1:12">
      <c r="B194" s="13" t="s">
        <v>66</v>
      </c>
      <c r="G194" s="420">
        <f>Core_Model!G62</f>
        <v>207</v>
      </c>
      <c r="H194" s="420">
        <f>SUM(H191:H193)</f>
        <v>246.27239100035925</v>
      </c>
      <c r="I194" s="420">
        <f>SUM(I191:I193)</f>
        <v>287.77086569683649</v>
      </c>
      <c r="J194" s="420">
        <f>SUM(J191:J193)</f>
        <v>331.58048185962753</v>
      </c>
      <c r="K194" s="420">
        <f t="shared" ref="K194:L194" si="22">SUM(K191:K193)</f>
        <v>377.79317478889914</v>
      </c>
      <c r="L194" s="420">
        <f t="shared" si="22"/>
        <v>426.50783872714123</v>
      </c>
    </row>
    <row r="195" spans="1:12">
      <c r="G195" s="56"/>
      <c r="H195" s="56"/>
      <c r="I195" s="56"/>
      <c r="J195" s="56"/>
      <c r="K195" s="56"/>
      <c r="L195" s="56"/>
    </row>
    <row r="196" spans="1:12">
      <c r="B196" t="s">
        <v>188</v>
      </c>
      <c r="C196"/>
      <c r="G196" s="28">
        <f>-416.58/100</f>
        <v>-4.1657999999999999</v>
      </c>
      <c r="H196" s="56">
        <f>G196*0.9</f>
        <v>-3.7492200000000002</v>
      </c>
      <c r="I196" s="56">
        <f t="shared" ref="I196:L196" si="23">H196*0.9</f>
        <v>-3.3742980000000005</v>
      </c>
      <c r="J196" s="56">
        <f>I196*0.9</f>
        <v>-3.0368682000000007</v>
      </c>
      <c r="K196" s="56">
        <f t="shared" si="23"/>
        <v>-2.7331813800000009</v>
      </c>
      <c r="L196" s="56">
        <f t="shared" si="23"/>
        <v>-2.4598632420000008</v>
      </c>
    </row>
    <row r="197" spans="1:12">
      <c r="B197" t="s">
        <v>189</v>
      </c>
      <c r="C197"/>
      <c r="G197" s="28">
        <f>1233619076.92/10000000</f>
        <v>123.361907692</v>
      </c>
      <c r="H197" s="56">
        <f>G197*1.05</f>
        <v>129.5300030766</v>
      </c>
      <c r="I197" s="56">
        <f t="shared" ref="I197:K197" si="24">H197*1.05</f>
        <v>136.00650323043001</v>
      </c>
      <c r="J197" s="56">
        <f>I197*1.05</f>
        <v>142.80682839195151</v>
      </c>
      <c r="K197" s="56">
        <f t="shared" si="24"/>
        <v>149.94716981154909</v>
      </c>
      <c r="L197" s="56">
        <f>K197*1.05</f>
        <v>157.44452830212654</v>
      </c>
    </row>
    <row r="198" spans="1:12">
      <c r="B198" s="1" t="s">
        <v>187</v>
      </c>
      <c r="C198" s="1"/>
      <c r="D198" s="1"/>
      <c r="E198" s="1"/>
      <c r="F198" s="1"/>
      <c r="G198" s="80"/>
      <c r="H198" s="428">
        <f>SUM(H196:H197)</f>
        <v>125.7807830766</v>
      </c>
      <c r="I198" s="428">
        <f t="shared" ref="I198:L198" si="25">SUM(I196:I197)</f>
        <v>132.63220523043</v>
      </c>
      <c r="J198" s="428">
        <f>SUM(J196:J197)</f>
        <v>139.7699601919515</v>
      </c>
      <c r="K198" s="428">
        <f t="shared" si="25"/>
        <v>147.2139884315491</v>
      </c>
      <c r="L198" s="428">
        <f t="shared" si="25"/>
        <v>154.98466506012653</v>
      </c>
    </row>
    <row r="199" spans="1:12">
      <c r="C199"/>
      <c r="G199" s="56"/>
      <c r="H199" s="56"/>
      <c r="I199" s="56"/>
      <c r="J199" s="56"/>
      <c r="K199" s="56"/>
      <c r="L199" s="56"/>
    </row>
    <row r="200" spans="1:12">
      <c r="B200" t="s">
        <v>188</v>
      </c>
      <c r="C200"/>
      <c r="G200" s="56"/>
      <c r="H200" s="56">
        <v>0</v>
      </c>
      <c r="I200" s="56">
        <v>0</v>
      </c>
      <c r="J200" s="56">
        <v>0</v>
      </c>
      <c r="K200" s="56">
        <v>0</v>
      </c>
      <c r="L200" s="56">
        <v>0</v>
      </c>
    </row>
    <row r="201" spans="1:12">
      <c r="B201" t="s">
        <v>189</v>
      </c>
      <c r="C201"/>
      <c r="G201" s="56"/>
      <c r="H201" s="56">
        <f>H197*0.75</f>
        <v>97.147502307449997</v>
      </c>
      <c r="I201" s="56">
        <f t="shared" ref="I201:K201" si="26">I197*0.75</f>
        <v>102.00487742282252</v>
      </c>
      <c r="J201" s="56">
        <f t="shared" si="26"/>
        <v>107.10512129396363</v>
      </c>
      <c r="K201" s="56">
        <f t="shared" si="26"/>
        <v>112.46037735866182</v>
      </c>
      <c r="L201" s="56">
        <f>L197*0.75</f>
        <v>118.08339622659491</v>
      </c>
    </row>
    <row r="202" spans="1:12">
      <c r="B202" s="1" t="s">
        <v>190</v>
      </c>
      <c r="C202"/>
      <c r="G202" s="56"/>
      <c r="H202" s="420">
        <f>SUM(H200:H201)</f>
        <v>97.147502307449997</v>
      </c>
      <c r="I202" s="420">
        <f t="shared" ref="I202:K202" si="27">SUM(I200:I201)</f>
        <v>102.00487742282252</v>
      </c>
      <c r="J202" s="420">
        <f t="shared" si="27"/>
        <v>107.10512129396363</v>
      </c>
      <c r="K202" s="420">
        <f t="shared" si="27"/>
        <v>112.46037735866182</v>
      </c>
      <c r="L202" s="420">
        <f>SUM(L200:L201)</f>
        <v>118.08339622659491</v>
      </c>
    </row>
    <row r="203" spans="1:12">
      <c r="C203"/>
      <c r="G203" s="56"/>
      <c r="H203" s="56"/>
      <c r="I203" s="56"/>
      <c r="J203" s="56"/>
      <c r="K203" s="56"/>
      <c r="L203" s="56"/>
    </row>
    <row r="204" spans="1:12" ht="26.25">
      <c r="A204" s="124" t="s">
        <v>76</v>
      </c>
      <c r="B204" s="26" t="s">
        <v>195</v>
      </c>
      <c r="C204" s="126"/>
      <c r="D204" s="102"/>
      <c r="E204" s="102"/>
      <c r="F204" s="102"/>
      <c r="G204" s="102"/>
      <c r="H204" s="102"/>
      <c r="I204" s="102"/>
      <c r="J204" s="102"/>
      <c r="K204" s="102"/>
      <c r="L204" s="102"/>
    </row>
    <row r="205" spans="1:12" ht="26.25">
      <c r="B205" s="24" t="str">
        <f t="shared" ref="B205:L205" si="28">B158</f>
        <v>Particulars</v>
      </c>
      <c r="C205" s="127" t="str">
        <f t="shared" si="28"/>
        <v xml:space="preserve"> </v>
      </c>
      <c r="D205" s="25" t="str">
        <f t="shared" si="28"/>
        <v xml:space="preserve"> </v>
      </c>
      <c r="E205" s="55">
        <f t="shared" si="28"/>
        <v>2023</v>
      </c>
      <c r="F205" s="55">
        <f t="shared" si="28"/>
        <v>2024</v>
      </c>
      <c r="G205" s="55">
        <f t="shared" si="28"/>
        <v>2025</v>
      </c>
      <c r="H205" s="103">
        <f t="shared" si="28"/>
        <v>2026</v>
      </c>
      <c r="I205" s="103">
        <f t="shared" si="28"/>
        <v>2027</v>
      </c>
      <c r="J205" s="103">
        <f t="shared" si="28"/>
        <v>2028</v>
      </c>
      <c r="K205" s="103">
        <f t="shared" si="28"/>
        <v>2029</v>
      </c>
      <c r="L205" s="103">
        <f t="shared" si="28"/>
        <v>2030</v>
      </c>
    </row>
    <row r="206" spans="1:12">
      <c r="C206"/>
    </row>
    <row r="207" spans="1:12">
      <c r="B207" t="s">
        <v>143</v>
      </c>
      <c r="C207"/>
      <c r="G207" s="56"/>
      <c r="H207" s="56">
        <f>G209</f>
        <v>1243</v>
      </c>
      <c r="I207" s="56">
        <f>H209</f>
        <v>1180.8499999999999</v>
      </c>
      <c r="J207" s="56">
        <f t="shared" ref="J207:L207" si="29">I209</f>
        <v>1121.8074999999999</v>
      </c>
      <c r="K207" s="56">
        <f t="shared" si="29"/>
        <v>1065.7171249999999</v>
      </c>
      <c r="L207" s="56">
        <f t="shared" si="29"/>
        <v>1012.4312687499998</v>
      </c>
    </row>
    <row r="208" spans="1:12">
      <c r="B208" t="s">
        <v>198</v>
      </c>
      <c r="C208"/>
      <c r="G208" s="56"/>
      <c r="H208" s="56">
        <f>MIN(H207, H207*0.05)*-1</f>
        <v>-62.150000000000006</v>
      </c>
      <c r="I208" s="56">
        <f t="shared" ref="I208:L208" si="30">MIN(I207, I207*0.05)*-1</f>
        <v>-59.042499999999997</v>
      </c>
      <c r="J208" s="56">
        <f t="shared" si="30"/>
        <v>-56.090374999999995</v>
      </c>
      <c r="K208" s="56">
        <f t="shared" si="30"/>
        <v>-53.285856249999995</v>
      </c>
      <c r="L208" s="56">
        <f t="shared" si="30"/>
        <v>-50.621563437499994</v>
      </c>
    </row>
    <row r="209" spans="2:12">
      <c r="B209" t="s">
        <v>196</v>
      </c>
      <c r="G209" s="420">
        <f>Core_Model!G55</f>
        <v>1243</v>
      </c>
      <c r="H209" s="420">
        <f>MAX(SUM(H207:H208),0)</f>
        <v>1180.8499999999999</v>
      </c>
      <c r="I209" s="420">
        <f t="shared" ref="I209:L209" si="31">MAX(SUM(I207:I208),0)</f>
        <v>1121.8074999999999</v>
      </c>
      <c r="J209" s="420">
        <f t="shared" si="31"/>
        <v>1065.7171249999999</v>
      </c>
      <c r="K209" s="420">
        <f t="shared" si="31"/>
        <v>1012.4312687499998</v>
      </c>
      <c r="L209" s="420">
        <f t="shared" si="31"/>
        <v>961.80970531249989</v>
      </c>
    </row>
  </sheetData>
  <conditionalFormatting sqref="D99">
    <cfRule type="expression" dxfId="2" priority="2">
      <formula>$D$306=1</formula>
    </cfRule>
  </conditionalFormatting>
  <conditionalFormatting sqref="D130">
    <cfRule type="expression" dxfId="1" priority="1">
      <formula>$D$306=1</formula>
    </cfRule>
  </conditionalFormatting>
  <pageMargins left="0.40157480314960631" right="0.47244094488188981" top="0.40157480314960631" bottom="0.40157480314960631" header="0" footer="0"/>
  <pageSetup paperSize="9" scale="8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B74A-8ECB-7A48-A249-EDF6378810D4}">
  <sheetPr>
    <pageSetUpPr fitToPage="1"/>
  </sheetPr>
  <dimension ref="A2:M111"/>
  <sheetViews>
    <sheetView showGridLines="0" zoomScaleNormal="100" zoomScaleSheetLayoutView="100" workbookViewId="0"/>
  </sheetViews>
  <sheetFormatPr defaultRowHeight="15"/>
  <cols>
    <col min="1" max="1" width="8.28515625" customWidth="1"/>
    <col min="2" max="2" width="27.42578125" customWidth="1"/>
    <col min="3" max="3" width="7.140625" bestFit="1" customWidth="1"/>
    <col min="4" max="5" width="18.5703125" bestFit="1" customWidth="1"/>
    <col min="6" max="6" width="10.28515625" bestFit="1" customWidth="1"/>
    <col min="7" max="7" width="12.140625" bestFit="1" customWidth="1"/>
    <col min="8" max="8" width="9.28515625" customWidth="1"/>
    <col min="9" max="12" width="9.85546875" bestFit="1" customWidth="1"/>
  </cols>
  <sheetData>
    <row r="2" spans="1:12" ht="26.25">
      <c r="A2" t="s">
        <v>76</v>
      </c>
      <c r="B2" s="26" t="s">
        <v>202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6.25">
      <c r="B3" s="24" t="str">
        <f>Assumptions!B2</f>
        <v>Particulars</v>
      </c>
      <c r="C3" s="99" t="str">
        <f>Assumptions!C2</f>
        <v xml:space="preserve"> </v>
      </c>
      <c r="D3" s="25" t="str">
        <f>Assumptions!D2</f>
        <v xml:space="preserve"> </v>
      </c>
      <c r="E3" s="35"/>
      <c r="F3" s="35"/>
      <c r="G3" s="35"/>
      <c r="H3" s="103">
        <f>Assumptions!H2</f>
        <v>2026</v>
      </c>
      <c r="I3" s="103">
        <f>Assumptions!I2</f>
        <v>2027</v>
      </c>
      <c r="J3" s="103">
        <f>Assumptions!J2</f>
        <v>2028</v>
      </c>
      <c r="K3" s="103">
        <f>Assumptions!K2</f>
        <v>2029</v>
      </c>
      <c r="L3" s="103">
        <f>Assumptions!L2</f>
        <v>2030</v>
      </c>
    </row>
    <row r="4" spans="1:12" ht="15.75">
      <c r="B4" s="83"/>
      <c r="C4" s="18"/>
      <c r="D4" s="19"/>
      <c r="E4" s="19"/>
      <c r="F4" s="19"/>
      <c r="G4" s="19"/>
      <c r="H4" s="148"/>
      <c r="I4" s="148"/>
      <c r="J4" s="148"/>
      <c r="K4" s="148"/>
      <c r="L4" s="148"/>
    </row>
    <row r="5" spans="1:12" ht="15.75">
      <c r="B5" s="12" t="s">
        <v>203</v>
      </c>
      <c r="C5" s="18"/>
      <c r="D5" s="19"/>
      <c r="E5" s="12" t="s">
        <v>204</v>
      </c>
      <c r="F5" s="120" t="s">
        <v>205</v>
      </c>
      <c r="G5" s="19"/>
      <c r="H5" s="20"/>
      <c r="I5" s="20"/>
      <c r="J5" s="20"/>
      <c r="K5" s="20"/>
      <c r="L5" s="20"/>
    </row>
    <row r="6" spans="1:12" ht="15.75">
      <c r="B6" s="8" t="s">
        <v>206</v>
      </c>
      <c r="C6" s="18"/>
      <c r="D6" s="19"/>
      <c r="E6" s="323" t="s">
        <v>9</v>
      </c>
      <c r="F6" s="424">
        <f>Core_Model!H14</f>
        <v>14459.160860282569</v>
      </c>
      <c r="G6" s="101"/>
      <c r="H6" s="116">
        <f>Schedules!H153</f>
        <v>4082.9897855499989</v>
      </c>
      <c r="I6" s="116">
        <f>Schedules!I153</f>
        <v>4397.987312032601</v>
      </c>
      <c r="J6" s="116">
        <f>Schedules!J153</f>
        <v>4804.9178541396013</v>
      </c>
      <c r="K6" s="116">
        <f>Schedules!K153</f>
        <v>5209.1953524046203</v>
      </c>
      <c r="L6" s="116">
        <f>Schedules!L153</f>
        <v>5576.4127623796066</v>
      </c>
    </row>
    <row r="7" spans="1:12" ht="15.75">
      <c r="B7" s="8" t="s">
        <v>207</v>
      </c>
      <c r="C7" s="18"/>
      <c r="D7" s="19"/>
      <c r="E7" s="360" t="s">
        <v>10</v>
      </c>
      <c r="F7" s="429">
        <f>Core_Model!H19</f>
        <v>15453.416610282567</v>
      </c>
      <c r="G7" s="101"/>
      <c r="H7" s="116">
        <f>Schedules!H122</f>
        <v>4341.4962805499981</v>
      </c>
      <c r="I7" s="116">
        <f>Schedules!I122</f>
        <v>4677.6632076226015</v>
      </c>
      <c r="J7" s="116">
        <f>Schedules!J122</f>
        <v>5106.9678213768002</v>
      </c>
      <c r="K7" s="116">
        <f>Schedules!K122</f>
        <v>5532.3888173484247</v>
      </c>
      <c r="L7" s="116">
        <f>Schedules!L122</f>
        <v>5920.0378352200378</v>
      </c>
    </row>
    <row r="8" spans="1:12" ht="15.75">
      <c r="B8" s="8" t="s">
        <v>208</v>
      </c>
      <c r="C8" s="60"/>
      <c r="D8" s="149"/>
      <c r="E8" s="312" t="s">
        <v>89</v>
      </c>
      <c r="F8" s="322">
        <f>Assumptions!H53</f>
        <v>0.26</v>
      </c>
      <c r="G8" s="101"/>
      <c r="H8" s="423">
        <f>H6-H7</f>
        <v>-258.50649499999918</v>
      </c>
      <c r="I8" s="423">
        <f>I6-I7</f>
        <v>-279.67589559000044</v>
      </c>
      <c r="J8" s="423">
        <f>J6-J7</f>
        <v>-302.04996723719887</v>
      </c>
      <c r="K8" s="423">
        <f>K6-K7</f>
        <v>-323.19346494380443</v>
      </c>
      <c r="L8" s="423">
        <f>L6-L7</f>
        <v>-343.62507284043113</v>
      </c>
    </row>
    <row r="9" spans="1:12" ht="15.75">
      <c r="B9" s="430"/>
      <c r="C9" s="431"/>
      <c r="D9" s="432"/>
      <c r="E9" s="432"/>
      <c r="F9" s="432"/>
      <c r="G9" s="432"/>
      <c r="H9" s="433"/>
      <c r="I9" s="433"/>
      <c r="J9" s="433"/>
      <c r="K9" s="433"/>
      <c r="L9" s="433"/>
    </row>
    <row r="10" spans="1:12" ht="15.75">
      <c r="B10" s="83"/>
      <c r="C10" s="18"/>
      <c r="D10" s="19"/>
      <c r="E10" s="19"/>
      <c r="F10" s="19"/>
      <c r="G10" s="19"/>
      <c r="H10" s="20"/>
      <c r="I10" s="20"/>
      <c r="J10" s="20"/>
      <c r="K10" s="20"/>
      <c r="L10" s="20"/>
    </row>
    <row r="11" spans="1:12" ht="22.5" customHeight="1">
      <c r="B11" s="12" t="s">
        <v>209</v>
      </c>
      <c r="C11" s="89"/>
      <c r="D11" s="151"/>
      <c r="E11" s="19"/>
      <c r="F11" s="19"/>
      <c r="G11" s="19"/>
      <c r="H11" s="89"/>
      <c r="I11" s="89"/>
      <c r="J11" s="89"/>
      <c r="K11" s="89"/>
      <c r="L11" s="89"/>
    </row>
    <row r="12" spans="1:12" ht="16.5">
      <c r="B12" s="8" t="s">
        <v>7</v>
      </c>
      <c r="C12" s="18"/>
      <c r="D12" s="19"/>
      <c r="E12" s="23"/>
      <c r="F12" s="101"/>
      <c r="G12" s="101"/>
      <c r="H12" s="116">
        <f>Core_Model!H11</f>
        <v>15813.163999999995</v>
      </c>
      <c r="I12" s="116">
        <f>Core_Model!I11</f>
        <v>17235.970928000002</v>
      </c>
      <c r="J12" s="116">
        <f>Core_Model!J11</f>
        <v>18999.10791888801</v>
      </c>
      <c r="K12" s="116">
        <f>Core_Model!K11</f>
        <v>20740.749246154308</v>
      </c>
      <c r="L12" s="116">
        <f>Core_Model!L11</f>
        <v>22328.99205920018</v>
      </c>
    </row>
    <row r="13" spans="1:12" ht="16.5">
      <c r="B13" s="8" t="s">
        <v>171</v>
      </c>
      <c r="C13" s="18"/>
      <c r="D13" s="19"/>
      <c r="E13" s="23"/>
      <c r="F13" s="101"/>
      <c r="G13" s="101"/>
      <c r="H13" s="116">
        <f>H6*-1</f>
        <v>-4082.9897855499989</v>
      </c>
      <c r="I13" s="116">
        <f>I6*-1</f>
        <v>-4397.987312032601</v>
      </c>
      <c r="J13" s="116">
        <f>J6*-1</f>
        <v>-4804.9178541396013</v>
      </c>
      <c r="K13" s="116">
        <f>K6*-1</f>
        <v>-5209.1953524046203</v>
      </c>
      <c r="L13" s="116">
        <f>L6*-1</f>
        <v>-5576.4127623796066</v>
      </c>
    </row>
    <row r="14" spans="1:12" ht="15.75">
      <c r="B14" s="8" t="s">
        <v>49</v>
      </c>
      <c r="C14" s="18"/>
      <c r="D14" s="19"/>
      <c r="E14" s="101"/>
      <c r="F14" s="101"/>
      <c r="G14" s="101"/>
      <c r="H14" s="116">
        <f>Assumptions!H38*-1</f>
        <v>-1458.0951</v>
      </c>
      <c r="I14" s="116">
        <f>Assumptions!I38*-1</f>
        <v>-1577.6588981999998</v>
      </c>
      <c r="J14" s="116">
        <f>Assumptions!J38*-1</f>
        <v>-1703.8716100560002</v>
      </c>
      <c r="K14" s="116">
        <f>Assumptions!K38*-1</f>
        <v>-1823.1426227599204</v>
      </c>
      <c r="L14" s="116">
        <f>Assumptions!L38*-1</f>
        <v>-1932.5311801255157</v>
      </c>
    </row>
    <row r="15" spans="1:12" ht="15.75">
      <c r="B15" s="8" t="s">
        <v>210</v>
      </c>
      <c r="C15" s="18"/>
      <c r="D15" s="19"/>
      <c r="E15" s="101"/>
      <c r="F15" s="101"/>
      <c r="G15" s="101"/>
      <c r="H15" s="116">
        <f>Schedules!H18*-1</f>
        <v>-261.21941369863043</v>
      </c>
      <c r="I15" s="116">
        <f>Schedules!I18*-1</f>
        <v>-295.52825057534255</v>
      </c>
      <c r="J15" s="116">
        <f>Schedules!J18*-1</f>
        <v>-402.64418157826731</v>
      </c>
      <c r="K15" s="116">
        <f>Schedules!K18*-1</f>
        <v>-252.13479275653935</v>
      </c>
      <c r="L15" s="116">
        <f>Schedules!L18*-1</f>
        <v>-212.24961575987254</v>
      </c>
    </row>
    <row r="16" spans="1:12" ht="15.75">
      <c r="B16" s="8" t="s">
        <v>211</v>
      </c>
      <c r="C16" s="60"/>
      <c r="D16" s="149"/>
      <c r="E16" s="101"/>
      <c r="F16" s="101"/>
      <c r="G16" s="101"/>
      <c r="H16" s="420">
        <f>SUM(H12:H15)</f>
        <v>10010.859700751365</v>
      </c>
      <c r="I16" s="420">
        <f>SUM(I12:I15)</f>
        <v>10964.79646719206</v>
      </c>
      <c r="J16" s="420">
        <f>SUM(J12:J15)</f>
        <v>12087.674273114142</v>
      </c>
      <c r="K16" s="420">
        <f>SUM(K12:K15)</f>
        <v>13456.276478233227</v>
      </c>
      <c r="L16" s="420">
        <f>SUM(L12:L15)</f>
        <v>14607.798500935183</v>
      </c>
    </row>
    <row r="17" spans="1:12" ht="16.5">
      <c r="B17" s="23"/>
      <c r="C17" s="23"/>
      <c r="D17" s="23"/>
      <c r="E17" s="23"/>
      <c r="F17" s="23"/>
      <c r="G17" s="23"/>
      <c r="H17" s="117"/>
      <c r="I17" s="117"/>
      <c r="J17" s="117"/>
      <c r="K17" s="117"/>
      <c r="L17" s="117"/>
    </row>
    <row r="18" spans="1:12" ht="16.5">
      <c r="B18" s="23"/>
      <c r="C18" s="23"/>
      <c r="D18" s="23"/>
      <c r="E18" s="23"/>
      <c r="F18" s="23"/>
      <c r="G18" s="23"/>
      <c r="H18" s="117"/>
      <c r="I18" s="117"/>
      <c r="J18" s="117"/>
      <c r="K18" s="117"/>
      <c r="L18" s="117"/>
    </row>
    <row r="19" spans="1:12" ht="21">
      <c r="B19" s="12" t="s">
        <v>212</v>
      </c>
      <c r="C19" s="89"/>
      <c r="D19" s="151"/>
      <c r="E19" s="19"/>
      <c r="F19" s="19"/>
      <c r="G19" s="19"/>
      <c r="H19" s="426"/>
      <c r="I19" s="426"/>
      <c r="J19" s="426"/>
      <c r="K19" s="426"/>
      <c r="L19" s="426"/>
    </row>
    <row r="20" spans="1:12" ht="15.75">
      <c r="B20" s="8" t="s">
        <v>14</v>
      </c>
      <c r="C20" s="18"/>
      <c r="D20" s="19"/>
      <c r="E20" s="101"/>
      <c r="F20" s="101"/>
      <c r="G20" s="101"/>
      <c r="H20" s="116">
        <f>Core_Model!H25</f>
        <v>10788.312367856039</v>
      </c>
      <c r="I20" s="116">
        <f>Core_Model!I25</f>
        <v>11882.649965080844</v>
      </c>
      <c r="J20" s="116">
        <f>Core_Model!J25</f>
        <v>13214.816342558534</v>
      </c>
      <c r="K20" s="116">
        <f>Core_Model!K25</f>
        <v>14510.565453050825</v>
      </c>
      <c r="L20" s="116">
        <f>Core_Model!L25</f>
        <v>15674.602551399112</v>
      </c>
    </row>
    <row r="21" spans="1:12" ht="15.75">
      <c r="B21" s="2" t="s">
        <v>220</v>
      </c>
      <c r="D21" s="16"/>
      <c r="H21" s="56">
        <f>Core_Model!H16*-1</f>
        <v>-994.15575000000001</v>
      </c>
      <c r="I21" s="56">
        <f>Core_Model!I16*-1</f>
        <v>-1075.6765215</v>
      </c>
      <c r="J21" s="56">
        <f>Core_Model!J16*-1</f>
        <v>-1161.73064322</v>
      </c>
      <c r="K21" s="56">
        <f>Core_Model!K16*-1</f>
        <v>-1243.0517882454003</v>
      </c>
      <c r="L21" s="56">
        <f>Core_Model!L16*-1</f>
        <v>-1317.6348955401243</v>
      </c>
    </row>
    <row r="22" spans="1:12" ht="15.75">
      <c r="B22" s="8" t="s">
        <v>213</v>
      </c>
      <c r="C22" s="18"/>
      <c r="D22" s="19"/>
      <c r="E22" s="101"/>
      <c r="F22" s="101"/>
      <c r="G22" s="101"/>
      <c r="H22" s="116">
        <f>Core_Model!H13*-1</f>
        <v>1354.0031397174255</v>
      </c>
      <c r="I22" s="116">
        <f>Core_Model!I13*-1</f>
        <v>1456.1106397174256</v>
      </c>
      <c r="J22" s="116">
        <f>Core_Model!J13*-1</f>
        <v>1566.5909547174256</v>
      </c>
      <c r="K22" s="116">
        <f>Core_Model!K13*-1</f>
        <v>1685.9096949174254</v>
      </c>
      <c r="L22" s="116">
        <f>Core_Model!L13*-1</f>
        <v>1813.5807469314254</v>
      </c>
    </row>
    <row r="23" spans="1:12" ht="15.75">
      <c r="B23" s="8" t="s">
        <v>214</v>
      </c>
      <c r="C23" s="18"/>
      <c r="D23" s="19"/>
      <c r="E23" s="101"/>
      <c r="F23" s="101"/>
      <c r="G23" s="101"/>
      <c r="H23" s="116">
        <f>Core_Model!H22*-1</f>
        <v>323.60796187653023</v>
      </c>
      <c r="I23" s="116">
        <f>Core_Model!I22*-1</f>
        <v>295.22363707913155</v>
      </c>
      <c r="J23" s="116">
        <f>Core_Model!J22*-1</f>
        <v>272.46344345524903</v>
      </c>
      <c r="K23" s="116">
        <f>Core_Model!K22*-1</f>
        <v>254.93706908303102</v>
      </c>
      <c r="L23" s="116">
        <f>Core_Model!L22*-1</f>
        <v>242.40582118972907</v>
      </c>
    </row>
    <row r="24" spans="1:12" ht="15.75">
      <c r="B24" s="8" t="s">
        <v>152</v>
      </c>
      <c r="C24" s="18"/>
      <c r="D24" s="19"/>
      <c r="E24" s="101"/>
      <c r="F24" s="101"/>
      <c r="G24" s="101"/>
      <c r="H24" s="116">
        <f>Core_Model!H17*-1</f>
        <v>-0.05</v>
      </c>
      <c r="I24" s="116">
        <f>Core_Model!I17*-1</f>
        <v>0</v>
      </c>
      <c r="J24" s="116">
        <f>Core_Model!J17*-1</f>
        <v>0</v>
      </c>
      <c r="K24" s="116">
        <f>Core_Model!K17*-1</f>
        <v>0</v>
      </c>
      <c r="L24" s="116">
        <f>Core_Model!L17*-1</f>
        <v>-2</v>
      </c>
    </row>
    <row r="25" spans="1:12" ht="15.75">
      <c r="B25" s="8" t="s">
        <v>215</v>
      </c>
      <c r="C25" s="18"/>
      <c r="D25" s="19"/>
      <c r="E25" s="101"/>
      <c r="F25" s="101"/>
      <c r="G25" s="101"/>
      <c r="H25" s="116">
        <f>H8*-1</f>
        <v>258.50649499999918</v>
      </c>
      <c r="I25" s="116">
        <f>I8*-1</f>
        <v>279.67589559000044</v>
      </c>
      <c r="J25" s="116">
        <f>J8*-1</f>
        <v>302.04996723719887</v>
      </c>
      <c r="K25" s="116">
        <f>K8*-1</f>
        <v>323.19346494380443</v>
      </c>
      <c r="L25" s="116">
        <f>L8*-1</f>
        <v>343.62507284043113</v>
      </c>
    </row>
    <row r="26" spans="1:12" ht="15.75">
      <c r="B26" s="8" t="s">
        <v>49</v>
      </c>
      <c r="C26" s="18"/>
      <c r="D26" s="19"/>
      <c r="E26" s="101"/>
      <c r="F26" s="101"/>
      <c r="G26" s="101"/>
      <c r="H26" s="116">
        <f t="shared" ref="H26:L27" si="0">H14</f>
        <v>-1458.0951</v>
      </c>
      <c r="I26" s="116">
        <f t="shared" si="0"/>
        <v>-1577.6588981999998</v>
      </c>
      <c r="J26" s="116">
        <f t="shared" si="0"/>
        <v>-1703.8716100560002</v>
      </c>
      <c r="K26" s="116">
        <f t="shared" si="0"/>
        <v>-1823.1426227599204</v>
      </c>
      <c r="L26" s="116">
        <f t="shared" si="0"/>
        <v>-1932.5311801255157</v>
      </c>
    </row>
    <row r="27" spans="1:12" ht="15.75">
      <c r="B27" s="8" t="s">
        <v>210</v>
      </c>
      <c r="C27" s="18"/>
      <c r="D27" s="19"/>
      <c r="E27" s="101"/>
      <c r="F27" s="101"/>
      <c r="G27" s="101"/>
      <c r="H27" s="116">
        <f t="shared" si="0"/>
        <v>-261.21941369863043</v>
      </c>
      <c r="I27" s="116">
        <f t="shared" si="0"/>
        <v>-295.52825057534255</v>
      </c>
      <c r="J27" s="116">
        <f t="shared" si="0"/>
        <v>-402.64418157826731</v>
      </c>
      <c r="K27" s="116">
        <f t="shared" si="0"/>
        <v>-252.13479275653935</v>
      </c>
      <c r="L27" s="116">
        <f t="shared" si="0"/>
        <v>-212.24961575987254</v>
      </c>
    </row>
    <row r="28" spans="1:12" ht="15.75">
      <c r="B28" s="8" t="s">
        <v>211</v>
      </c>
      <c r="C28" s="60"/>
      <c r="D28" s="149"/>
      <c r="E28" s="101"/>
      <c r="F28" s="101"/>
      <c r="G28" s="101"/>
      <c r="H28" s="434">
        <f>SUM(H20:H27)</f>
        <v>10010.909700751365</v>
      </c>
      <c r="I28" s="434">
        <f>SUM(I20:I27)</f>
        <v>10964.79646719206</v>
      </c>
      <c r="J28" s="434">
        <f>SUM(J20:J27)</f>
        <v>12087.67427311414</v>
      </c>
      <c r="K28" s="434">
        <f>SUM(K20:K27)</f>
        <v>13456.276478233227</v>
      </c>
      <c r="L28" s="434">
        <f>SUM(L20:L27)</f>
        <v>14609.798500935183</v>
      </c>
    </row>
    <row r="29" spans="1:12" ht="16.5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2" ht="15.75">
      <c r="B30" s="154" t="s">
        <v>216</v>
      </c>
      <c r="C30" s="152"/>
      <c r="E30" s="153"/>
      <c r="F30" s="153"/>
      <c r="G30" s="153"/>
      <c r="H30" s="361">
        <f>IF(ROUND(H16-H28,1)&lt;10,0,1)</f>
        <v>0</v>
      </c>
      <c r="I30" s="362">
        <f>IF(ROUND(I16-I28,1)&lt;10,0,1)</f>
        <v>0</v>
      </c>
      <c r="J30" s="362">
        <f>IF(ROUND(J16-J28,1)&lt;10,0,1)</f>
        <v>0</v>
      </c>
      <c r="K30" s="362">
        <f>IF(ROUND(K16-K28,1)&lt;10,0,1)</f>
        <v>0</v>
      </c>
      <c r="L30" s="363">
        <f>IF(ROUND(L16-L28,1)&lt;10,0,1)</f>
        <v>0</v>
      </c>
    </row>
    <row r="32" spans="1:12" ht="26.25">
      <c r="A32" t="s">
        <v>76</v>
      </c>
      <c r="B32" s="26" t="s">
        <v>260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2:13" ht="26.25">
      <c r="B33" s="24" t="str">
        <f>B3</f>
        <v>Particulars</v>
      </c>
      <c r="C33" s="99" t="str">
        <f>C3</f>
        <v xml:space="preserve"> </v>
      </c>
      <c r="D33" s="25" t="str">
        <f>D3</f>
        <v xml:space="preserve"> </v>
      </c>
      <c r="E33" s="35"/>
      <c r="F33" s="35"/>
      <c r="G33" s="35"/>
      <c r="H33" s="103">
        <f>H3</f>
        <v>2026</v>
      </c>
      <c r="I33" s="103">
        <f>I3</f>
        <v>2027</v>
      </c>
      <c r="J33" s="103">
        <f>J3</f>
        <v>2028</v>
      </c>
      <c r="K33" s="103">
        <f>K3</f>
        <v>2029</v>
      </c>
      <c r="L33" s="103">
        <f>L3</f>
        <v>2030</v>
      </c>
    </row>
    <row r="35" spans="2:13" ht="21">
      <c r="B35" s="83"/>
      <c r="C35" s="89"/>
      <c r="D35" s="89"/>
      <c r="E35" s="61"/>
      <c r="F35" s="61"/>
      <c r="G35" s="376" t="s">
        <v>221</v>
      </c>
      <c r="H35" s="377" t="s">
        <v>222</v>
      </c>
      <c r="I35" s="378"/>
      <c r="J35" s="378"/>
      <c r="K35" s="378"/>
      <c r="L35" s="379" t="s">
        <v>205</v>
      </c>
    </row>
    <row r="36" spans="2:13" ht="21">
      <c r="B36" s="89"/>
      <c r="C36" s="89"/>
      <c r="D36" s="89"/>
      <c r="E36" s="89"/>
      <c r="F36" s="89"/>
      <c r="G36" s="368" t="s">
        <v>223</v>
      </c>
      <c r="H36" s="364" t="s">
        <v>223</v>
      </c>
      <c r="I36" s="364" t="s">
        <v>223</v>
      </c>
      <c r="J36" s="364" t="s">
        <v>223</v>
      </c>
      <c r="K36" s="364" t="s">
        <v>223</v>
      </c>
      <c r="L36" s="369" t="s">
        <v>223</v>
      </c>
    </row>
    <row r="37" spans="2:13" ht="21">
      <c r="B37" s="309" t="s">
        <v>224</v>
      </c>
      <c r="C37" s="380">
        <f>Sensitivity_Analysis!H56</f>
        <v>0.02</v>
      </c>
      <c r="D37" s="89"/>
      <c r="E37" s="164" t="s">
        <v>225</v>
      </c>
      <c r="F37" s="89"/>
      <c r="G37" s="370">
        <f ca="1">Assumptions!H58</f>
        <v>46201</v>
      </c>
      <c r="H37" s="365">
        <f>Assumptions!H59</f>
        <v>46387</v>
      </c>
      <c r="I37" s="365">
        <f t="shared" ref="I37:L38" si="1">EDATE(H37,12)</f>
        <v>46752</v>
      </c>
      <c r="J37" s="366">
        <f t="shared" si="1"/>
        <v>47118</v>
      </c>
      <c r="K37" s="366">
        <f t="shared" si="1"/>
        <v>47483</v>
      </c>
      <c r="L37" s="371">
        <f t="shared" si="1"/>
        <v>47848</v>
      </c>
    </row>
    <row r="38" spans="2:13" ht="21">
      <c r="B38" s="341" t="s">
        <v>105</v>
      </c>
      <c r="C38" s="381">
        <f>Sensitivity_Analysis!H57</f>
        <v>0.11</v>
      </c>
      <c r="D38" s="60"/>
      <c r="E38" s="164" t="s">
        <v>226</v>
      </c>
      <c r="F38" s="89"/>
      <c r="G38" s="372">
        <f ca="1">G37</f>
        <v>46201</v>
      </c>
      <c r="H38" s="373">
        <f>Assumptions!H60</f>
        <v>46203</v>
      </c>
      <c r="I38" s="374">
        <f t="shared" si="1"/>
        <v>46568</v>
      </c>
      <c r="J38" s="374">
        <f t="shared" si="1"/>
        <v>46934</v>
      </c>
      <c r="K38" s="374">
        <f t="shared" si="1"/>
        <v>47299</v>
      </c>
      <c r="L38" s="375">
        <f t="shared" si="1"/>
        <v>47664</v>
      </c>
    </row>
    <row r="39" spans="2:13" ht="21">
      <c r="B39" s="156"/>
      <c r="C39" s="18"/>
      <c r="D39" s="60"/>
      <c r="E39" s="61"/>
      <c r="F39" s="61"/>
      <c r="G39" s="61"/>
      <c r="H39" s="61"/>
      <c r="I39" s="61"/>
      <c r="J39" s="61"/>
      <c r="K39" s="61"/>
      <c r="L39" s="61"/>
    </row>
    <row r="40" spans="2:13" ht="21">
      <c r="B40" s="34" t="s">
        <v>211</v>
      </c>
      <c r="C40" s="89"/>
      <c r="D40" s="19"/>
      <c r="E40" s="101"/>
      <c r="F40" s="101"/>
      <c r="G40" s="56"/>
      <c r="H40" s="303">
        <f>H28</f>
        <v>10010.909700751365</v>
      </c>
      <c r="I40" s="304">
        <f>I28</f>
        <v>10964.79646719206</v>
      </c>
      <c r="J40" s="304">
        <f>J28</f>
        <v>12087.67427311414</v>
      </c>
      <c r="K40" s="304">
        <f>K28</f>
        <v>13456.276478233227</v>
      </c>
      <c r="L40" s="305">
        <f>L28</f>
        <v>14609.798500935183</v>
      </c>
    </row>
    <row r="41" spans="2:13" ht="21">
      <c r="B41" s="12" t="s">
        <v>227</v>
      </c>
      <c r="C41" s="89"/>
      <c r="D41" s="23"/>
      <c r="E41" s="23"/>
      <c r="F41" s="19"/>
      <c r="G41" s="118"/>
      <c r="H41" s="118"/>
      <c r="I41" s="118"/>
      <c r="J41" s="118"/>
      <c r="K41" s="118"/>
      <c r="L41" s="56"/>
      <c r="M41" s="89"/>
    </row>
    <row r="42" spans="2:13" ht="21">
      <c r="B42" s="2" t="s">
        <v>222</v>
      </c>
      <c r="C42" s="89"/>
      <c r="D42" s="166"/>
      <c r="E42" s="23"/>
      <c r="F42" s="101"/>
      <c r="G42" s="56"/>
      <c r="H42" s="413">
        <f>H40</f>
        <v>10010.909700751365</v>
      </c>
      <c r="I42" s="413">
        <f>I40</f>
        <v>10964.79646719206</v>
      </c>
      <c r="J42" s="413">
        <f>J40</f>
        <v>12087.67427311414</v>
      </c>
      <c r="K42" s="413">
        <f>K40</f>
        <v>13456.276478233227</v>
      </c>
      <c r="L42" s="56"/>
      <c r="M42" s="122"/>
    </row>
    <row r="43" spans="2:13" ht="21">
      <c r="B43" s="2" t="s">
        <v>228</v>
      </c>
      <c r="C43" s="89"/>
      <c r="D43" s="19"/>
      <c r="E43" s="23"/>
      <c r="F43" s="101"/>
      <c r="G43" s="56"/>
      <c r="H43" s="480">
        <v>0</v>
      </c>
      <c r="I43" s="480">
        <v>0</v>
      </c>
      <c r="J43" s="480">
        <v>0</v>
      </c>
      <c r="K43" s="413">
        <f>L40/(C38-C37)</f>
        <v>162331.09445483537</v>
      </c>
      <c r="L43" s="56"/>
      <c r="M43" s="122"/>
    </row>
    <row r="44" spans="2:13" ht="21">
      <c r="B44" s="2" t="s">
        <v>229</v>
      </c>
      <c r="C44" s="89"/>
      <c r="D44" s="149"/>
      <c r="E44" s="101"/>
      <c r="F44" s="101"/>
      <c r="G44" s="56"/>
      <c r="H44" s="410">
        <f>SUM(H42:H43)</f>
        <v>10010.909700751365</v>
      </c>
      <c r="I44" s="410">
        <f>SUM(I42:I43)</f>
        <v>10964.79646719206</v>
      </c>
      <c r="J44" s="410">
        <f>SUM(J42:J43)</f>
        <v>12087.67427311414</v>
      </c>
      <c r="K44" s="410">
        <f>SUM(K42:K43)</f>
        <v>175787.3709330686</v>
      </c>
      <c r="L44" s="56"/>
      <c r="M44" s="101"/>
    </row>
    <row r="45" spans="2:13" ht="21">
      <c r="B45" s="12"/>
      <c r="C45" s="89"/>
      <c r="D45" s="19"/>
      <c r="E45" s="150"/>
      <c r="F45" s="150"/>
      <c r="G45" s="56"/>
      <c r="H45" s="481"/>
      <c r="I45" s="481"/>
      <c r="J45" s="481"/>
      <c r="K45" s="481"/>
      <c r="L45" s="56"/>
      <c r="M45" s="23"/>
    </row>
    <row r="46" spans="2:13" ht="21">
      <c r="B46" s="12" t="s">
        <v>230</v>
      </c>
      <c r="C46" s="89"/>
      <c r="D46" s="19"/>
      <c r="E46" s="23"/>
      <c r="F46" s="19"/>
      <c r="G46" s="56"/>
      <c r="H46" s="118"/>
      <c r="I46" s="118"/>
      <c r="J46" s="118"/>
      <c r="K46" s="118"/>
      <c r="L46" s="56"/>
      <c r="M46" s="101"/>
    </row>
    <row r="47" spans="2:13" ht="21">
      <c r="B47" s="8" t="s">
        <v>231</v>
      </c>
      <c r="C47" s="89"/>
      <c r="D47" s="19"/>
      <c r="E47" s="150"/>
      <c r="F47" s="150"/>
      <c r="G47" s="56"/>
      <c r="H47" s="482">
        <f ca="1">YEARFRAC(H37,G37)</f>
        <v>0.5083333333333333</v>
      </c>
      <c r="I47" s="482">
        <f>YEARFRAC(I37,H37)</f>
        <v>1</v>
      </c>
      <c r="J47" s="482">
        <f>YEARFRAC(J37,I37)</f>
        <v>1</v>
      </c>
      <c r="K47" s="482">
        <f>YEARFRAC(K37,J37)</f>
        <v>1</v>
      </c>
      <c r="L47" s="56"/>
      <c r="M47" s="167"/>
    </row>
    <row r="48" spans="2:13" ht="5.25" customHeight="1">
      <c r="B48" s="8"/>
      <c r="C48" s="89"/>
      <c r="D48" s="19"/>
      <c r="E48" s="150"/>
      <c r="F48" s="150"/>
      <c r="G48" s="56"/>
      <c r="H48" s="482"/>
      <c r="I48" s="482"/>
      <c r="J48" s="482"/>
      <c r="K48" s="482"/>
      <c r="L48" s="56"/>
      <c r="M48" s="101"/>
    </row>
    <row r="49" spans="2:13" ht="21">
      <c r="B49" s="2" t="s">
        <v>222</v>
      </c>
      <c r="C49" s="89"/>
      <c r="D49" s="166"/>
      <c r="E49" s="23"/>
      <c r="F49" s="101"/>
      <c r="G49" s="56"/>
      <c r="H49" s="413">
        <f ca="1">H42*H$47</f>
        <v>5088.8790978819434</v>
      </c>
      <c r="I49" s="413">
        <f>I42*I$47</f>
        <v>10964.79646719206</v>
      </c>
      <c r="J49" s="413">
        <f>J42*J$47</f>
        <v>12087.67427311414</v>
      </c>
      <c r="K49" s="413">
        <f>K42*K$47</f>
        <v>13456.276478233227</v>
      </c>
      <c r="L49" s="56"/>
      <c r="M49" s="101"/>
    </row>
    <row r="50" spans="2:13" ht="21">
      <c r="B50" s="2" t="s">
        <v>228</v>
      </c>
      <c r="C50" s="89"/>
      <c r="D50" s="19"/>
      <c r="E50" s="23"/>
      <c r="F50" s="101"/>
      <c r="G50" s="56"/>
      <c r="H50" s="413">
        <f>H43</f>
        <v>0</v>
      </c>
      <c r="I50" s="413">
        <f t="shared" ref="I50:J50" si="2">I43</f>
        <v>0</v>
      </c>
      <c r="J50" s="413">
        <f t="shared" si="2"/>
        <v>0</v>
      </c>
      <c r="K50" s="413">
        <f>K43*K47</f>
        <v>162331.09445483537</v>
      </c>
      <c r="L50" s="56"/>
      <c r="M50" s="101"/>
    </row>
    <row r="51" spans="2:13" ht="21">
      <c r="B51" s="2" t="s">
        <v>229</v>
      </c>
      <c r="C51" s="89"/>
      <c r="D51" s="149"/>
      <c r="E51" s="101"/>
      <c r="F51" s="101"/>
      <c r="G51" s="28">
        <v>0</v>
      </c>
      <c r="H51" s="410">
        <f ca="1">SUM(H49:H50)</f>
        <v>5088.8790978819434</v>
      </c>
      <c r="I51" s="410">
        <f>SUM(I49:I50)</f>
        <v>10964.79646719206</v>
      </c>
      <c r="J51" s="410">
        <f>SUM(J49:J50)</f>
        <v>12087.67427311414</v>
      </c>
      <c r="K51" s="410">
        <f>SUM(K49:K50)</f>
        <v>175787.3709330686</v>
      </c>
      <c r="L51" s="56"/>
      <c r="M51" s="101"/>
    </row>
    <row r="52" spans="2:13" ht="21">
      <c r="B52" s="8"/>
      <c r="C52" s="89"/>
      <c r="D52" s="19"/>
      <c r="E52" s="150"/>
      <c r="F52" s="150"/>
      <c r="G52" s="56"/>
      <c r="H52" s="56"/>
      <c r="I52" s="56"/>
      <c r="J52" s="56"/>
      <c r="K52" s="56"/>
      <c r="L52" s="56"/>
      <c r="M52" s="101"/>
    </row>
    <row r="53" spans="2:13" ht="21">
      <c r="B53" s="12" t="s">
        <v>232</v>
      </c>
      <c r="C53" s="89"/>
      <c r="D53" s="19"/>
      <c r="E53" s="23"/>
      <c r="F53" s="19"/>
      <c r="G53" s="56"/>
      <c r="H53" s="56"/>
      <c r="I53" s="56"/>
      <c r="J53" s="56"/>
      <c r="K53" s="56"/>
      <c r="L53" s="56"/>
      <c r="M53" s="101"/>
    </row>
    <row r="54" spans="2:13" ht="16.5">
      <c r="B54" s="8" t="s">
        <v>233</v>
      </c>
      <c r="C54" s="23"/>
      <c r="D54" s="19"/>
      <c r="E54" s="101"/>
      <c r="F54" s="101"/>
      <c r="G54" s="56"/>
      <c r="H54" s="116">
        <f ca="1">G54+YEARFRAC(H38,G38)</f>
        <v>5.5555555555555558E-3</v>
      </c>
      <c r="I54" s="116">
        <f ca="1">H54+YEARFRAC(I38,H38)</f>
        <v>1.0055555555555555</v>
      </c>
      <c r="J54" s="116">
        <f ca="1">I54+YEARFRAC(J38,I38)</f>
        <v>2.0055555555555555</v>
      </c>
      <c r="K54" s="116">
        <f ca="1">J54+YEARFRAC(K38,J38)</f>
        <v>3.0055555555555555</v>
      </c>
      <c r="L54" s="56"/>
      <c r="M54" s="101"/>
    </row>
    <row r="55" spans="2:13" ht="7.5" customHeight="1">
      <c r="B55" s="8"/>
      <c r="C55" s="23"/>
      <c r="D55" s="19"/>
      <c r="E55" s="101"/>
      <c r="F55" s="101"/>
      <c r="G55" s="56"/>
      <c r="H55" s="116"/>
      <c r="I55" s="116"/>
      <c r="J55" s="116"/>
      <c r="K55" s="116"/>
      <c r="L55" s="56"/>
      <c r="M55" s="101"/>
    </row>
    <row r="56" spans="2:13" ht="21">
      <c r="B56" s="2" t="s">
        <v>222</v>
      </c>
      <c r="C56" s="89"/>
      <c r="D56" s="166"/>
      <c r="E56" s="23"/>
      <c r="F56" s="101"/>
      <c r="G56" s="56"/>
      <c r="H56" s="413">
        <f ca="1">H49/(1+$C$38)^H$54</f>
        <v>5085.9295335626257</v>
      </c>
      <c r="I56" s="413">
        <f ca="1">I49/(1+$C$38)^I$54</f>
        <v>9872.4695166119636</v>
      </c>
      <c r="J56" s="413">
        <f ca="1">J49/(1+$C$38)^J$54</f>
        <v>9804.9412696645286</v>
      </c>
      <c r="K56" s="413">
        <f ca="1">K49/(1+$C$38)^K$54</f>
        <v>9833.4105385072689</v>
      </c>
      <c r="L56" s="56"/>
      <c r="M56" s="101"/>
    </row>
    <row r="57" spans="2:13" ht="21">
      <c r="B57" s="2" t="s">
        <v>228</v>
      </c>
      <c r="C57" s="89"/>
      <c r="D57" s="19"/>
      <c r="E57" s="23"/>
      <c r="F57" s="101"/>
      <c r="G57" s="56"/>
      <c r="H57" s="413">
        <f>H50/(1+$C$358)^I$376</f>
        <v>0</v>
      </c>
      <c r="I57" s="413">
        <f>I50/(1+$C$358)^J$376</f>
        <v>0</v>
      </c>
      <c r="J57" s="413">
        <f>J50/(1+$C$358)^K$376</f>
        <v>0</v>
      </c>
      <c r="K57" s="413">
        <f ca="1">K50/(1+$C$38)^K54</f>
        <v>118626.30033811425</v>
      </c>
      <c r="L57" s="56"/>
      <c r="M57" s="101"/>
    </row>
    <row r="58" spans="2:13" ht="21">
      <c r="B58" s="2" t="s">
        <v>229</v>
      </c>
      <c r="C58" s="89"/>
      <c r="D58" s="149"/>
      <c r="E58" s="101"/>
      <c r="F58" s="101"/>
      <c r="G58" s="56"/>
      <c r="H58" s="410">
        <f ca="1">SUM(H56:H57)</f>
        <v>5085.9295335626257</v>
      </c>
      <c r="I58" s="410">
        <f ca="1">SUM(I56:I57)</f>
        <v>9872.4695166119636</v>
      </c>
      <c r="J58" s="410">
        <f ca="1">SUM(J56:J57)</f>
        <v>9804.9412696645286</v>
      </c>
      <c r="K58" s="410">
        <f ca="1">SUM(K56:K57)</f>
        <v>128459.71087662151</v>
      </c>
      <c r="L58" s="56"/>
      <c r="M58" s="101"/>
    </row>
    <row r="59" spans="2:13" ht="21">
      <c r="B59" s="8"/>
      <c r="C59" s="89"/>
      <c r="D59" s="19"/>
      <c r="E59" s="150"/>
      <c r="F59" s="150"/>
      <c r="G59" s="352"/>
      <c r="H59" s="168"/>
      <c r="I59" s="168"/>
      <c r="J59" s="168"/>
      <c r="K59" s="168"/>
      <c r="M59" s="101"/>
    </row>
    <row r="60" spans="2:13" ht="16.5">
      <c r="B60" s="23"/>
      <c r="C60" s="23"/>
      <c r="D60" s="23"/>
      <c r="E60" s="169"/>
      <c r="F60" s="169"/>
      <c r="G60" s="169"/>
      <c r="H60" s="169"/>
      <c r="I60" s="169"/>
      <c r="J60" s="169"/>
      <c r="K60" s="169"/>
      <c r="L60" s="169"/>
      <c r="M60" s="23"/>
    </row>
    <row r="61" spans="2:13" ht="16.5">
      <c r="B61" s="23"/>
      <c r="C61" s="23"/>
      <c r="D61" s="15" t="s">
        <v>234</v>
      </c>
      <c r="E61" s="355"/>
      <c r="F61" s="169"/>
      <c r="G61" s="169"/>
      <c r="H61" s="15" t="s">
        <v>234</v>
      </c>
      <c r="I61" s="355"/>
      <c r="J61" s="169"/>
      <c r="K61" s="169"/>
      <c r="M61" s="23"/>
    </row>
    <row r="62" spans="2:13" ht="16.5">
      <c r="B62" s="23"/>
      <c r="C62" s="23"/>
      <c r="D62" s="382" t="s">
        <v>235</v>
      </c>
      <c r="E62" s="383"/>
      <c r="F62" s="424">
        <f ca="1">SUM(H58:K58)</f>
        <v>153223.05119646061</v>
      </c>
      <c r="H62" s="382" t="s">
        <v>236</v>
      </c>
      <c r="I62" s="383"/>
      <c r="J62" s="358">
        <f ca="1">K62/$K$64</f>
        <v>0.2257933815323053</v>
      </c>
      <c r="K62" s="424">
        <f ca="1">SUM(H56:L56)</f>
        <v>34596.750858346386</v>
      </c>
      <c r="M62" s="23"/>
    </row>
    <row r="63" spans="2:13" ht="16.5">
      <c r="B63" s="23"/>
      <c r="C63" s="23"/>
      <c r="D63" s="384" t="s">
        <v>237</v>
      </c>
      <c r="E63" s="385"/>
      <c r="F63" s="485">
        <f ca="1">XNPV(C38,G51:K51,G38:K38)</f>
        <v>153184.74112859712</v>
      </c>
      <c r="H63" s="386" t="s">
        <v>238</v>
      </c>
      <c r="I63" s="169"/>
      <c r="J63" s="359">
        <f ca="1">K63/$K$64</f>
        <v>0.77420661846769467</v>
      </c>
      <c r="K63" s="429">
        <f ca="1">SUM(H57:L57)</f>
        <v>118626.30033811425</v>
      </c>
      <c r="M63" s="23"/>
    </row>
    <row r="64" spans="2:13" ht="16.5">
      <c r="B64" s="23"/>
      <c r="C64" s="23"/>
      <c r="D64" s="23"/>
      <c r="E64" s="23"/>
      <c r="F64" s="23"/>
      <c r="H64" s="384" t="s">
        <v>239</v>
      </c>
      <c r="I64" s="385"/>
      <c r="J64" s="405">
        <f ca="1">K64/$K$64</f>
        <v>1</v>
      </c>
      <c r="K64" s="483">
        <f ca="1">SUM(K62:K63)</f>
        <v>153223.05119646064</v>
      </c>
      <c r="M64" s="23"/>
    </row>
    <row r="65" spans="1:13" ht="16.5">
      <c r="B65" s="23"/>
      <c r="C65" s="23"/>
      <c r="D65" s="169"/>
      <c r="E65" s="169"/>
      <c r="F65" s="169"/>
      <c r="H65" s="169"/>
      <c r="I65" s="169"/>
      <c r="J65" s="169"/>
      <c r="K65" s="169"/>
      <c r="M65" s="23"/>
    </row>
    <row r="66" spans="1:13" ht="16.5">
      <c r="B66" s="23"/>
      <c r="C66" s="23"/>
      <c r="D66" s="15" t="s">
        <v>240</v>
      </c>
      <c r="E66" s="101"/>
      <c r="F66" s="169"/>
      <c r="H66" s="15" t="s">
        <v>241</v>
      </c>
      <c r="I66" s="101"/>
      <c r="J66" s="169"/>
      <c r="K66" s="169"/>
      <c r="M66" s="23"/>
    </row>
    <row r="67" spans="1:13" ht="16.5">
      <c r="B67" s="23"/>
      <c r="C67" s="23"/>
      <c r="D67" s="382" t="s">
        <v>239</v>
      </c>
      <c r="E67" s="383"/>
      <c r="F67" s="424">
        <f ca="1">F63</f>
        <v>153184.74112859712</v>
      </c>
      <c r="H67" s="382" t="s">
        <v>242</v>
      </c>
      <c r="I67" s="383"/>
      <c r="J67" s="383"/>
      <c r="K67" s="424">
        <f ca="1">F70</f>
        <v>164700.22737821261</v>
      </c>
      <c r="M67" s="23"/>
    </row>
    <row r="68" spans="1:13" ht="16.5">
      <c r="B68" s="23"/>
      <c r="C68" s="23"/>
      <c r="D68" s="386" t="s">
        <v>243</v>
      </c>
      <c r="E68" s="169"/>
      <c r="F68" s="429">
        <f>Assumptions!H63*-1</f>
        <v>-1388.3175440396412</v>
      </c>
      <c r="H68" s="386" t="s">
        <v>244</v>
      </c>
      <c r="I68" s="169"/>
      <c r="J68" s="388"/>
      <c r="K68" s="429">
        <f>Assumptions!H57</f>
        <v>234.95912619999999</v>
      </c>
    </row>
    <row r="69" spans="1:13" ht="16.5">
      <c r="B69" s="23"/>
      <c r="C69" s="23"/>
      <c r="D69" s="387" t="s">
        <v>258</v>
      </c>
      <c r="F69" s="484">
        <f>Core_Model!L32+Core_Model!L33</f>
        <v>12903.803793655125</v>
      </c>
      <c r="H69" s="384" t="s">
        <v>247</v>
      </c>
      <c r="I69" s="385"/>
      <c r="J69" s="389"/>
      <c r="K69" s="483">
        <f ca="1">K67/K68</f>
        <v>700.97395254193202</v>
      </c>
    </row>
    <row r="70" spans="1:13" ht="16.5">
      <c r="B70" s="23"/>
      <c r="C70" s="101"/>
      <c r="D70" s="384" t="s">
        <v>242</v>
      </c>
      <c r="E70" s="385"/>
      <c r="F70" s="485">
        <f ca="1">SUM(F67:F69)</f>
        <v>164700.22737821261</v>
      </c>
      <c r="G70" s="169"/>
      <c r="H70" s="169"/>
      <c r="I70" s="169"/>
      <c r="J70" s="169"/>
    </row>
    <row r="72" spans="1:13" ht="26.25">
      <c r="A72" t="s">
        <v>76</v>
      </c>
      <c r="B72" s="26" t="s">
        <v>259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</row>
    <row r="73" spans="1:13" ht="26.25">
      <c r="B73" s="24" t="str">
        <f>B33</f>
        <v>Particulars</v>
      </c>
      <c r="C73" s="99" t="str">
        <f>C33</f>
        <v xml:space="preserve"> </v>
      </c>
      <c r="D73" s="25" t="str">
        <f>D33</f>
        <v xml:space="preserve"> </v>
      </c>
      <c r="E73" s="35"/>
      <c r="F73" s="35"/>
      <c r="G73" s="35"/>
      <c r="H73" s="103">
        <f>H33</f>
        <v>2026</v>
      </c>
      <c r="I73" s="103">
        <f>I33</f>
        <v>2027</v>
      </c>
      <c r="J73" s="103">
        <f>J33</f>
        <v>2028</v>
      </c>
      <c r="K73" s="103">
        <f>K33</f>
        <v>2029</v>
      </c>
      <c r="L73" s="103">
        <f>L33</f>
        <v>2030</v>
      </c>
    </row>
    <row r="75" spans="1:13" ht="21">
      <c r="B75" s="83"/>
      <c r="C75" s="89"/>
      <c r="D75" s="89"/>
      <c r="E75" s="61"/>
      <c r="F75" s="61"/>
      <c r="G75" s="157" t="s">
        <v>221</v>
      </c>
      <c r="H75" s="158" t="s">
        <v>222</v>
      </c>
      <c r="I75" s="159"/>
      <c r="J75" s="159"/>
      <c r="K75" s="159"/>
      <c r="L75" s="160" t="s">
        <v>205</v>
      </c>
    </row>
    <row r="76" spans="1:13" ht="21">
      <c r="B76" s="89"/>
      <c r="C76" s="89"/>
      <c r="D76" s="89"/>
      <c r="E76" s="89"/>
      <c r="F76" s="89"/>
      <c r="G76" s="161" t="s">
        <v>223</v>
      </c>
      <c r="H76" s="161" t="s">
        <v>223</v>
      </c>
      <c r="I76" s="162" t="s">
        <v>223</v>
      </c>
      <c r="J76" s="162" t="s">
        <v>223</v>
      </c>
      <c r="K76" s="162" t="s">
        <v>223</v>
      </c>
      <c r="L76" s="163" t="s">
        <v>223</v>
      </c>
    </row>
    <row r="77" spans="1:13" ht="21">
      <c r="B77" s="309" t="s">
        <v>251</v>
      </c>
      <c r="C77" s="390">
        <f>Sensitivity_Analysis!H58</f>
        <v>7</v>
      </c>
      <c r="D77" s="89"/>
      <c r="E77" s="164" t="s">
        <v>225</v>
      </c>
      <c r="F77" s="89"/>
      <c r="G77" s="165">
        <f t="shared" ref="G77:L78" ca="1" si="3">G37</f>
        <v>46201</v>
      </c>
      <c r="H77" s="165">
        <f t="shared" si="3"/>
        <v>46387</v>
      </c>
      <c r="I77" s="399">
        <f t="shared" si="3"/>
        <v>46752</v>
      </c>
      <c r="J77" s="399">
        <f t="shared" si="3"/>
        <v>47118</v>
      </c>
      <c r="K77" s="399">
        <f t="shared" si="3"/>
        <v>47483</v>
      </c>
      <c r="L77" s="400">
        <f t="shared" si="3"/>
        <v>47848</v>
      </c>
    </row>
    <row r="78" spans="1:13" ht="21">
      <c r="B78" s="341" t="s">
        <v>105</v>
      </c>
      <c r="C78" s="381">
        <f>Sensitivity_Analysis!H57</f>
        <v>0.11</v>
      </c>
      <c r="D78" s="60"/>
      <c r="E78" s="164" t="s">
        <v>226</v>
      </c>
      <c r="F78" s="89"/>
      <c r="G78" s="398">
        <f t="shared" ca="1" si="3"/>
        <v>46201</v>
      </c>
      <c r="H78" s="398">
        <f t="shared" si="3"/>
        <v>46203</v>
      </c>
      <c r="I78" s="401">
        <f t="shared" si="3"/>
        <v>46568</v>
      </c>
      <c r="J78" s="401">
        <f t="shared" si="3"/>
        <v>46934</v>
      </c>
      <c r="K78" s="401">
        <f t="shared" si="3"/>
        <v>47299</v>
      </c>
      <c r="L78" s="402">
        <f t="shared" si="3"/>
        <v>47664</v>
      </c>
    </row>
    <row r="79" spans="1:13" ht="21">
      <c r="B79" s="156"/>
      <c r="C79" s="18"/>
      <c r="D79" s="60"/>
      <c r="E79" s="101"/>
      <c r="F79" s="101"/>
    </row>
    <row r="80" spans="1:13" ht="21">
      <c r="B80" s="174" t="s">
        <v>211</v>
      </c>
      <c r="C80" s="175"/>
      <c r="D80" s="176"/>
      <c r="E80" s="101"/>
      <c r="F80" s="101"/>
      <c r="G80" s="56">
        <v>0</v>
      </c>
      <c r="H80" s="486">
        <f>H28</f>
        <v>10010.909700751365</v>
      </c>
      <c r="I80" s="486">
        <f>I28</f>
        <v>10964.79646719206</v>
      </c>
      <c r="J80" s="486">
        <f>J28</f>
        <v>12087.67427311414</v>
      </c>
      <c r="K80" s="486">
        <f>K28</f>
        <v>13456.276478233227</v>
      </c>
      <c r="L80" s="486">
        <f>L28</f>
        <v>14609.798500935183</v>
      </c>
    </row>
    <row r="81" spans="2:12" ht="21">
      <c r="B81" s="174" t="s">
        <v>7</v>
      </c>
      <c r="C81" s="175"/>
      <c r="D81" s="176"/>
      <c r="E81" s="89"/>
      <c r="F81" s="89"/>
      <c r="G81" s="426"/>
      <c r="H81" s="426"/>
      <c r="I81" s="426"/>
      <c r="J81" s="426"/>
      <c r="K81" s="426"/>
      <c r="L81" s="487">
        <f>L12</f>
        <v>22328.99205920018</v>
      </c>
    </row>
    <row r="82" spans="2:12" ht="21">
      <c r="B82" s="89"/>
      <c r="C82" s="89"/>
      <c r="D82" s="89"/>
      <c r="E82" s="23"/>
      <c r="F82" s="23"/>
      <c r="G82" s="117"/>
      <c r="H82" s="117"/>
      <c r="I82" s="117"/>
      <c r="J82" s="117"/>
      <c r="K82" s="117"/>
      <c r="L82" s="117"/>
    </row>
    <row r="83" spans="2:12" ht="21">
      <c r="B83" s="12" t="s">
        <v>227</v>
      </c>
      <c r="C83" s="89"/>
      <c r="D83" s="89"/>
      <c r="E83" s="367" t="s">
        <v>252</v>
      </c>
      <c r="F83" s="101"/>
      <c r="G83" s="480"/>
      <c r="H83" s="413">
        <f>H80</f>
        <v>10010.909700751365</v>
      </c>
      <c r="I83" s="413">
        <f>I80</f>
        <v>10964.79646719206</v>
      </c>
      <c r="J83" s="413">
        <f>J80</f>
        <v>12087.67427311414</v>
      </c>
      <c r="K83" s="413">
        <f>K80</f>
        <v>13456.276478233227</v>
      </c>
      <c r="L83" s="413">
        <f>L80</f>
        <v>14609.798500935183</v>
      </c>
    </row>
    <row r="84" spans="2:12" ht="21">
      <c r="B84" s="8" t="s">
        <v>222</v>
      </c>
      <c r="C84" s="89"/>
      <c r="D84" s="166"/>
      <c r="E84" s="403" t="s">
        <v>254</v>
      </c>
      <c r="F84" s="101"/>
      <c r="G84" s="56"/>
      <c r="H84" s="480">
        <v>0</v>
      </c>
      <c r="I84" s="480">
        <v>0</v>
      </c>
      <c r="J84" s="480">
        <v>0</v>
      </c>
      <c r="K84" s="480">
        <v>0</v>
      </c>
      <c r="L84" s="413">
        <f>(L81*C77)/(1+C78)^E85</f>
        <v>148356.18945058735</v>
      </c>
    </row>
    <row r="85" spans="2:12" ht="21">
      <c r="B85" s="8" t="s">
        <v>253</v>
      </c>
      <c r="C85" s="89"/>
      <c r="D85" s="19"/>
      <c r="E85" s="404">
        <f>YEARFRAC(L77,L78)</f>
        <v>0.5</v>
      </c>
      <c r="G85" s="56"/>
      <c r="H85" s="410">
        <f t="shared" ref="H85:L85" si="4">SUM(H83:H84)</f>
        <v>10010.909700751365</v>
      </c>
      <c r="I85" s="410">
        <f t="shared" si="4"/>
        <v>10964.79646719206</v>
      </c>
      <c r="J85" s="410">
        <f t="shared" si="4"/>
        <v>12087.67427311414</v>
      </c>
      <c r="K85" s="410">
        <f t="shared" si="4"/>
        <v>13456.276478233227</v>
      </c>
      <c r="L85" s="410">
        <f t="shared" si="4"/>
        <v>162965.98795152252</v>
      </c>
    </row>
    <row r="86" spans="2:12" ht="21">
      <c r="B86" s="8" t="s">
        <v>229</v>
      </c>
      <c r="C86" s="89"/>
      <c r="D86" s="149"/>
      <c r="E86" s="150"/>
      <c r="F86" s="150"/>
      <c r="H86" s="150"/>
      <c r="I86" s="150"/>
      <c r="J86" s="150"/>
      <c r="K86" s="150"/>
      <c r="L86" s="23"/>
    </row>
    <row r="87" spans="2:12" ht="21">
      <c r="B87" s="12"/>
      <c r="C87" s="89"/>
      <c r="D87" s="19"/>
      <c r="E87" s="150"/>
      <c r="F87" s="150"/>
      <c r="H87" s="168"/>
      <c r="I87" s="168"/>
      <c r="J87" s="168"/>
      <c r="K87" s="168"/>
      <c r="L87" s="168"/>
    </row>
    <row r="88" spans="2:12" ht="21">
      <c r="B88" s="12" t="s">
        <v>230</v>
      </c>
      <c r="C88" s="89"/>
      <c r="D88" s="19"/>
      <c r="E88" s="150"/>
      <c r="F88" s="150"/>
      <c r="H88" s="168">
        <f ca="1">YEARFRAC(H77,G77)</f>
        <v>0.5083333333333333</v>
      </c>
      <c r="I88" s="168">
        <f>YEARFRAC(I77,H77)</f>
        <v>1</v>
      </c>
      <c r="J88" s="168">
        <f>YEARFRAC(J77,I77)</f>
        <v>1</v>
      </c>
      <c r="K88" s="168">
        <f>YEARFRAC(K77,J77)</f>
        <v>1</v>
      </c>
      <c r="L88" s="168">
        <f>YEARFRAC(L77,K77)</f>
        <v>1</v>
      </c>
    </row>
    <row r="89" spans="2:12" ht="21">
      <c r="B89" s="8" t="s">
        <v>231</v>
      </c>
      <c r="C89" s="89"/>
      <c r="D89" s="19"/>
      <c r="E89" s="150"/>
      <c r="F89" s="150"/>
      <c r="H89" s="168"/>
      <c r="I89" s="168"/>
      <c r="J89" s="168"/>
      <c r="K89" s="168"/>
      <c r="L89" s="168"/>
    </row>
    <row r="90" spans="2:12" ht="21">
      <c r="B90" s="2" t="s">
        <v>222</v>
      </c>
      <c r="C90" s="89"/>
      <c r="D90" s="19"/>
      <c r="E90" s="150"/>
      <c r="F90" s="150"/>
      <c r="H90" s="413">
        <f ca="1">H83*H88</f>
        <v>5088.8790978819434</v>
      </c>
      <c r="I90" s="413">
        <f>I83*I88</f>
        <v>10964.79646719206</v>
      </c>
      <c r="J90" s="413">
        <f>J83*J88</f>
        <v>12087.67427311414</v>
      </c>
      <c r="K90" s="413">
        <f>K83*K88</f>
        <v>13456.276478233227</v>
      </c>
      <c r="L90" s="413">
        <f>L83*L88</f>
        <v>14609.798500935183</v>
      </c>
    </row>
    <row r="91" spans="2:12" ht="21">
      <c r="B91" s="2" t="s">
        <v>228</v>
      </c>
      <c r="C91" s="89"/>
      <c r="D91" s="19"/>
      <c r="E91" s="150"/>
      <c r="F91" s="150"/>
      <c r="H91" s="416">
        <f>H84</f>
        <v>0</v>
      </c>
      <c r="I91" s="416">
        <f>I84</f>
        <v>0</v>
      </c>
      <c r="J91" s="416">
        <f>J84</f>
        <v>0</v>
      </c>
      <c r="K91" s="416">
        <f>K84</f>
        <v>0</v>
      </c>
      <c r="L91" s="416">
        <f>L88*L84</f>
        <v>148356.18945058735</v>
      </c>
    </row>
    <row r="92" spans="2:12" ht="21">
      <c r="B92" s="2" t="s">
        <v>229</v>
      </c>
      <c r="C92" s="89"/>
      <c r="D92" s="19"/>
      <c r="E92" s="150"/>
      <c r="F92" s="150"/>
      <c r="G92" s="28">
        <v>0</v>
      </c>
      <c r="H92" s="488">
        <f ca="1">SUM(H90:H91)</f>
        <v>5088.8790978819434</v>
      </c>
      <c r="I92" s="488">
        <f>SUM(I90:I91)</f>
        <v>10964.79646719206</v>
      </c>
      <c r="J92" s="488">
        <f>SUM(J90:J91)</f>
        <v>12087.67427311414</v>
      </c>
      <c r="K92" s="488">
        <f>SUM(K90:K91)</f>
        <v>13456.276478233227</v>
      </c>
      <c r="L92" s="488">
        <f>SUM(L90:L91)</f>
        <v>162965.98795152252</v>
      </c>
    </row>
    <row r="93" spans="2:12" ht="21">
      <c r="B93" s="8"/>
      <c r="C93" s="89"/>
      <c r="D93" s="19"/>
      <c r="E93" s="150"/>
      <c r="F93" s="150"/>
      <c r="H93" s="168"/>
      <c r="I93" s="168"/>
      <c r="J93" s="168"/>
      <c r="K93" s="168"/>
      <c r="L93" s="168"/>
    </row>
    <row r="94" spans="2:12" ht="21">
      <c r="B94" s="12" t="s">
        <v>232</v>
      </c>
      <c r="C94" s="89"/>
      <c r="D94" s="19"/>
      <c r="E94" s="150"/>
      <c r="F94" s="150"/>
    </row>
    <row r="95" spans="2:12" ht="21">
      <c r="B95" s="8" t="s">
        <v>233</v>
      </c>
      <c r="C95" s="89"/>
      <c r="D95" s="19"/>
      <c r="E95" s="150"/>
      <c r="F95" s="150"/>
      <c r="H95" s="354">
        <f ca="1">G95+YEARFRAC(G78,H78)</f>
        <v>5.5555555555555558E-3</v>
      </c>
      <c r="I95" s="354">
        <f ca="1">H95+YEARFRAC(H78,I78)</f>
        <v>1.0055555555555555</v>
      </c>
      <c r="J95" s="354">
        <f ca="1">I95+YEARFRAC(I78,J78)</f>
        <v>2.0055555555555555</v>
      </c>
      <c r="K95" s="354">
        <f ca="1">J95+YEARFRAC(J78,K78)</f>
        <v>3.0055555555555555</v>
      </c>
      <c r="L95" s="354">
        <f ca="1">K95+YEARFRAC(K78,L78)</f>
        <v>4.0055555555555555</v>
      </c>
    </row>
    <row r="96" spans="2:12" ht="21">
      <c r="B96" s="2" t="s">
        <v>222</v>
      </c>
      <c r="C96" s="89"/>
      <c r="D96" s="19"/>
      <c r="E96" s="150"/>
      <c r="F96" s="150"/>
      <c r="H96" s="116">
        <f ca="1">H90/(1+$C$78)^H95</f>
        <v>5085.9295335626257</v>
      </c>
      <c r="I96" s="116">
        <f ca="1">I90/(1+$C$78)^I95</f>
        <v>9872.4695166119636</v>
      </c>
      <c r="J96" s="116">
        <f ca="1">J90/(1+$C$78)^J95</f>
        <v>9804.9412696645286</v>
      </c>
      <c r="K96" s="116">
        <f ca="1">K90/(1+$C$78)^K95</f>
        <v>9833.4105385072689</v>
      </c>
      <c r="L96" s="116">
        <f ca="1">L90/(1+$C$78)^L95</f>
        <v>9618.3486760633168</v>
      </c>
    </row>
    <row r="97" spans="2:12" ht="21">
      <c r="B97" s="2" t="s">
        <v>228</v>
      </c>
      <c r="C97" s="89"/>
      <c r="D97" s="19"/>
      <c r="E97" s="150"/>
      <c r="F97" s="150"/>
      <c r="H97" s="489">
        <f ca="1">H91/(1+$C$78)^H95</f>
        <v>0</v>
      </c>
      <c r="I97" s="489">
        <f t="shared" ref="I97:K97" ca="1" si="5">I91/(1+$C$78)^I95</f>
        <v>0</v>
      </c>
      <c r="J97" s="489">
        <f t="shared" ca="1" si="5"/>
        <v>0</v>
      </c>
      <c r="K97" s="489">
        <f t="shared" ca="1" si="5"/>
        <v>0</v>
      </c>
      <c r="L97" s="489">
        <f ca="1">L91/(1+$C$78)^L95</f>
        <v>97670.173773889896</v>
      </c>
    </row>
    <row r="98" spans="2:12" ht="21">
      <c r="B98" s="2" t="s">
        <v>229</v>
      </c>
      <c r="C98" s="89"/>
      <c r="D98" s="19"/>
      <c r="E98" s="150"/>
      <c r="F98" s="150"/>
      <c r="H98" s="410">
        <f ca="1">SUM(H96:H97)</f>
        <v>5085.9295335626257</v>
      </c>
      <c r="I98" s="410">
        <f ca="1">SUM(I96:I97)</f>
        <v>9872.4695166119636</v>
      </c>
      <c r="J98" s="410">
        <f ca="1">SUM(J96:J97)</f>
        <v>9804.9412696645286</v>
      </c>
      <c r="K98" s="410">
        <f ca="1">SUM(K96:K97)</f>
        <v>9833.4105385072689</v>
      </c>
      <c r="L98" s="410">
        <f ca="1">SUM(L96:L97)</f>
        <v>107288.52244995322</v>
      </c>
    </row>
    <row r="99" spans="2:12" ht="21">
      <c r="B99" s="2"/>
      <c r="C99" s="89"/>
      <c r="D99" s="19"/>
      <c r="E99" s="101"/>
      <c r="F99" s="101"/>
      <c r="G99" s="353"/>
      <c r="H99" s="353"/>
      <c r="I99" s="353"/>
      <c r="J99" s="353"/>
      <c r="K99" s="353"/>
      <c r="L99" s="353"/>
    </row>
    <row r="100" spans="2:12" ht="21">
      <c r="B100" s="8"/>
      <c r="C100" s="89"/>
      <c r="D100" s="12" t="s">
        <v>234</v>
      </c>
      <c r="E100" s="356"/>
      <c r="F100" s="122"/>
      <c r="G100" s="101"/>
      <c r="H100" s="15" t="s">
        <v>234</v>
      </c>
      <c r="I100" s="355"/>
      <c r="J100" s="169"/>
      <c r="K100" s="169"/>
    </row>
    <row r="101" spans="2:12" ht="21">
      <c r="B101" s="12"/>
      <c r="C101" s="89"/>
      <c r="D101" s="391" t="s">
        <v>235</v>
      </c>
      <c r="E101" s="392"/>
      <c r="F101" s="424">
        <f ca="1">SUM(H98:L98)</f>
        <v>141885.2733082996</v>
      </c>
      <c r="H101" s="382" t="s">
        <v>236</v>
      </c>
      <c r="I101" s="383"/>
      <c r="J101" s="358">
        <f ca="1">K101/$K$103</f>
        <v>0.31162571353219737</v>
      </c>
      <c r="K101" s="424">
        <f ca="1">SUM(H96:L96)</f>
        <v>44215.099534409703</v>
      </c>
    </row>
    <row r="102" spans="2:12" ht="21">
      <c r="B102" s="8"/>
      <c r="C102" s="89"/>
      <c r="D102" s="393" t="s">
        <v>255</v>
      </c>
      <c r="E102" s="394"/>
      <c r="F102" s="485">
        <f ca="1">XNPV(C78,G92:L92,G78:L78)</f>
        <v>141850.1144290443</v>
      </c>
      <c r="H102" s="386" t="s">
        <v>238</v>
      </c>
      <c r="I102" s="169"/>
      <c r="J102" s="359">
        <f ca="1">K102/$K$103</f>
        <v>0.68837428646780263</v>
      </c>
      <c r="K102" s="429">
        <f ca="1">SUM(H97:L97)</f>
        <v>97670.173773889896</v>
      </c>
    </row>
    <row r="103" spans="2:12" ht="16.5">
      <c r="B103" s="8"/>
      <c r="C103" s="23"/>
      <c r="D103" s="23"/>
      <c r="E103" s="23"/>
      <c r="F103" s="357"/>
      <c r="G103" s="23"/>
      <c r="H103" s="384" t="s">
        <v>239</v>
      </c>
      <c r="I103" s="385"/>
      <c r="J103" s="405">
        <f ca="1">K103/$K$103</f>
        <v>1</v>
      </c>
      <c r="K103" s="483">
        <f ca="1">SUM(K101:K102)</f>
        <v>141885.2733082996</v>
      </c>
    </row>
    <row r="104" spans="2:12" ht="16.5"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2:12" ht="16.5"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2:12" ht="16.5">
      <c r="B106" s="23"/>
      <c r="C106" s="23"/>
      <c r="D106" s="12" t="s">
        <v>240</v>
      </c>
      <c r="E106" s="101"/>
      <c r="F106" s="23"/>
      <c r="G106" s="23"/>
      <c r="H106" s="12" t="s">
        <v>241</v>
      </c>
      <c r="I106" s="101"/>
      <c r="J106" s="23"/>
      <c r="K106" s="23"/>
    </row>
    <row r="107" spans="2:12" ht="16.5">
      <c r="B107" s="23"/>
      <c r="C107" s="23"/>
      <c r="D107" s="391" t="s">
        <v>239</v>
      </c>
      <c r="E107" s="395"/>
      <c r="F107" s="424">
        <f ca="1">F102</f>
        <v>141850.1144290443</v>
      </c>
      <c r="G107" s="23"/>
      <c r="H107" s="391" t="s">
        <v>242</v>
      </c>
      <c r="I107" s="395"/>
      <c r="J107" s="395"/>
      <c r="K107" s="424">
        <f ca="1">F110</f>
        <v>153365.6006786598</v>
      </c>
    </row>
    <row r="108" spans="2:12" ht="16.5">
      <c r="B108" s="23"/>
      <c r="C108" s="23"/>
      <c r="D108" s="386" t="s">
        <v>243</v>
      </c>
      <c r="E108" s="23"/>
      <c r="F108" s="490">
        <f>Assumptions!H63*-1</f>
        <v>-1388.3175440396412</v>
      </c>
      <c r="G108" s="23"/>
      <c r="H108" s="396" t="s">
        <v>244</v>
      </c>
      <c r="I108" s="23"/>
      <c r="J108" s="397"/>
      <c r="K108" s="490">
        <f>Assumptions!H57</f>
        <v>234.95912619999999</v>
      </c>
    </row>
    <row r="109" spans="2:12" ht="16.5">
      <c r="B109" s="23"/>
      <c r="C109" s="23"/>
      <c r="D109" s="387" t="s">
        <v>258</v>
      </c>
      <c r="F109" s="484">
        <f>Core_Model!L32+Core_Model!L33</f>
        <v>12903.803793655125</v>
      </c>
      <c r="G109" s="23"/>
      <c r="H109" s="393" t="s">
        <v>242</v>
      </c>
      <c r="I109" s="394"/>
      <c r="J109" s="389"/>
      <c r="K109" s="483">
        <f ca="1">K107/K108</f>
        <v>652.73310791985659</v>
      </c>
    </row>
    <row r="110" spans="2:12" ht="16.5">
      <c r="B110" s="23"/>
      <c r="C110" s="23"/>
      <c r="D110" s="393" t="s">
        <v>242</v>
      </c>
      <c r="E110" s="394"/>
      <c r="F110" s="483">
        <f ca="1">SUM(F107:F109)</f>
        <v>153365.6006786598</v>
      </c>
      <c r="G110" s="23"/>
      <c r="H110" s="23"/>
      <c r="I110" s="23"/>
      <c r="J110" s="23"/>
      <c r="K110" s="23"/>
    </row>
    <row r="111" spans="2:12" ht="16.5">
      <c r="B111" s="23"/>
      <c r="C111" s="101"/>
      <c r="D111" s="23"/>
      <c r="E111" s="23"/>
    </row>
  </sheetData>
  <conditionalFormatting sqref="H30:L30">
    <cfRule type="expression" dxfId="0" priority="1">
      <formula>H30=1</formula>
    </cfRule>
  </conditionalFormatting>
  <pageMargins left="0.40157480314960631" right="0.40157480314960631" top="0.40157480314960631" bottom="0.40157480314960631" header="0" footer="0"/>
  <pageSetup paperSize="9" scale="9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96CA-5A96-45DD-9314-0DD49D729072}">
  <sheetPr>
    <pageSetUpPr fitToPage="1"/>
  </sheetPr>
  <dimension ref="A2:V83"/>
  <sheetViews>
    <sheetView showGridLines="0" topLeftCell="A12" zoomScaleNormal="100" workbookViewId="0"/>
  </sheetViews>
  <sheetFormatPr defaultRowHeight="15"/>
  <cols>
    <col min="1" max="1" width="6.28515625" customWidth="1"/>
    <col min="2" max="2" width="4.42578125" customWidth="1"/>
    <col min="3" max="3" width="11.85546875" customWidth="1"/>
    <col min="4" max="8" width="12.28515625" bestFit="1" customWidth="1"/>
    <col min="9" max="9" width="9.7109375" bestFit="1" customWidth="1"/>
    <col min="10" max="10" width="4.42578125" customWidth="1"/>
    <col min="11" max="11" width="8.42578125" bestFit="1" customWidth="1"/>
    <col min="12" max="12" width="9.7109375" bestFit="1" customWidth="1"/>
    <col min="13" max="13" width="10.140625" bestFit="1" customWidth="1"/>
    <col min="14" max="14" width="9.7109375" bestFit="1" customWidth="1"/>
    <col min="15" max="16" width="10.140625" bestFit="1" customWidth="1"/>
  </cols>
  <sheetData>
    <row r="2" spans="1:22" ht="26.25">
      <c r="A2" t="s">
        <v>76</v>
      </c>
      <c r="B2" s="26" t="s">
        <v>261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6"/>
      <c r="N2" s="27"/>
      <c r="O2" s="27"/>
      <c r="P2" s="27"/>
    </row>
    <row r="3" spans="1:22" ht="15.75">
      <c r="B3" s="83"/>
      <c r="C3" s="18"/>
      <c r="D3" s="18"/>
      <c r="E3" s="60"/>
      <c r="F3" s="60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22" ht="16.5">
      <c r="B4" s="23"/>
      <c r="C4" s="23"/>
      <c r="D4" s="23"/>
      <c r="E4" s="23"/>
      <c r="F4" s="19"/>
      <c r="G4" s="36"/>
      <c r="O4" s="38"/>
      <c r="P4" s="23"/>
      <c r="Q4" s="23"/>
    </row>
    <row r="5" spans="1:22" ht="16.5">
      <c r="B5" s="3" t="s">
        <v>98</v>
      </c>
      <c r="D5" s="23"/>
      <c r="E5" s="23"/>
      <c r="F5" s="23"/>
      <c r="P5" s="23"/>
      <c r="Q5" s="23"/>
    </row>
    <row r="6" spans="1:22" ht="16.5">
      <c r="A6" s="23"/>
      <c r="B6" s="23"/>
      <c r="C6" s="23"/>
      <c r="D6" s="23"/>
      <c r="E6" s="23"/>
      <c r="F6" s="23"/>
      <c r="I6" s="23"/>
      <c r="Q6" s="23"/>
      <c r="R6" s="23"/>
      <c r="S6" s="23"/>
      <c r="T6" s="23"/>
      <c r="U6" s="23"/>
      <c r="V6" s="23"/>
    </row>
    <row r="7" spans="1:22" ht="16.5">
      <c r="A7" s="23"/>
      <c r="B7" s="23"/>
      <c r="C7" s="23"/>
      <c r="D7" s="23"/>
      <c r="E7" s="23"/>
      <c r="F7" s="23"/>
      <c r="I7" s="23"/>
      <c r="Q7" s="23"/>
    </row>
    <row r="8" spans="1:22" ht="16.5">
      <c r="A8" s="23"/>
      <c r="B8" s="190" t="s">
        <v>239</v>
      </c>
      <c r="C8" s="179"/>
      <c r="D8" s="208"/>
      <c r="E8" s="179"/>
      <c r="F8" s="179"/>
      <c r="G8" s="179"/>
      <c r="H8" s="179"/>
      <c r="J8" s="190" t="s">
        <v>242</v>
      </c>
      <c r="K8" s="179"/>
      <c r="L8" s="208"/>
      <c r="M8" s="179"/>
      <c r="N8" s="179"/>
      <c r="O8" s="179"/>
      <c r="P8" s="179"/>
      <c r="Q8" s="14"/>
    </row>
    <row r="9" spans="1:22" ht="21">
      <c r="A9" s="89"/>
      <c r="B9" s="180"/>
      <c r="C9" s="180"/>
      <c r="D9" s="180"/>
      <c r="E9" s="180"/>
      <c r="F9" s="180"/>
      <c r="G9" s="180"/>
      <c r="H9" s="180"/>
      <c r="J9" s="180"/>
      <c r="K9" s="180"/>
      <c r="L9" s="180"/>
      <c r="M9" s="180"/>
      <c r="N9" s="180"/>
      <c r="O9" s="180"/>
      <c r="P9" s="180"/>
      <c r="Q9" s="23"/>
    </row>
    <row r="10" spans="1:22" ht="16.5">
      <c r="A10" s="21"/>
      <c r="B10" s="194"/>
      <c r="C10" s="195"/>
      <c r="D10" s="196" t="s">
        <v>263</v>
      </c>
      <c r="E10" s="179"/>
      <c r="F10" s="179"/>
      <c r="G10" s="179"/>
      <c r="H10" s="179"/>
      <c r="J10" s="194"/>
      <c r="K10" s="194"/>
      <c r="L10" s="196" t="s">
        <v>263</v>
      </c>
      <c r="M10" s="179"/>
      <c r="N10" s="179"/>
      <c r="O10" s="179"/>
      <c r="P10" s="179"/>
      <c r="Q10" s="23"/>
    </row>
    <row r="11" spans="1:22" ht="16.5">
      <c r="A11" s="21"/>
      <c r="C11" s="491">
        <f ca="1">Valuation_DCF!F63</f>
        <v>153184.74112859712</v>
      </c>
      <c r="D11" s="199">
        <f>E11-0.005</f>
        <v>9.9999999999999985E-3</v>
      </c>
      <c r="E11" s="199">
        <f>F11-0.005</f>
        <v>1.4999999999999999E-2</v>
      </c>
      <c r="F11" s="297">
        <f>Assumptions!H61</f>
        <v>0.02</v>
      </c>
      <c r="G11" s="199">
        <f>F11+0.005</f>
        <v>2.5000000000000001E-2</v>
      </c>
      <c r="H11" s="199">
        <f>G11+0.005</f>
        <v>3.0000000000000002E-2</v>
      </c>
      <c r="J11" s="169"/>
      <c r="K11" s="201"/>
      <c r="L11" s="199">
        <f>D11</f>
        <v>9.9999999999999985E-3</v>
      </c>
      <c r="M11" s="199">
        <f>E11</f>
        <v>1.4999999999999999E-2</v>
      </c>
      <c r="N11" s="199">
        <f>F11</f>
        <v>0.02</v>
      </c>
      <c r="O11" s="199">
        <f>G11</f>
        <v>2.5000000000000001E-2</v>
      </c>
      <c r="P11" s="199">
        <f>H11</f>
        <v>3.0000000000000002E-2</v>
      </c>
      <c r="Q11" s="23"/>
    </row>
    <row r="12" spans="1:22" ht="16.5" customHeight="1">
      <c r="A12" s="21"/>
      <c r="B12" s="506" t="s">
        <v>105</v>
      </c>
      <c r="C12" s="199">
        <f>C13-0.01</f>
        <v>9.0000000000000011E-2</v>
      </c>
      <c r="D12" s="437">
        <f t="dataTable" ref="D12:H16" dt2D="1" dtr="1" r1="H56" r2="H57" ca="1"/>
        <v>176609.49495312825</v>
      </c>
      <c r="E12" s="438">
        <v>186004.0425533719</v>
      </c>
      <c r="F12" s="438">
        <v>196740.66838222177</v>
      </c>
      <c r="G12" s="438">
        <v>209129.08280012547</v>
      </c>
      <c r="H12" s="439">
        <v>223582.23295434643</v>
      </c>
      <c r="J12" s="507" t="s">
        <v>105</v>
      </c>
      <c r="K12" s="199">
        <f>C12</f>
        <v>9.0000000000000011E-2</v>
      </c>
      <c r="L12" s="437">
        <f t="shared" ref="L12:P16" si="0">D12-$H$59+$H$60</f>
        <v>188124.98120274374</v>
      </c>
      <c r="M12" s="438">
        <f t="shared" si="0"/>
        <v>197519.52880298739</v>
      </c>
      <c r="N12" s="438">
        <f t="shared" si="0"/>
        <v>208256.15463183727</v>
      </c>
      <c r="O12" s="438">
        <f t="shared" si="0"/>
        <v>220644.56904974097</v>
      </c>
      <c r="P12" s="439">
        <f t="shared" si="0"/>
        <v>235097.71920396193</v>
      </c>
      <c r="Q12" s="23"/>
    </row>
    <row r="13" spans="1:22" ht="17.25" customHeight="1">
      <c r="A13" s="184"/>
      <c r="B13" s="506"/>
      <c r="C13" s="199">
        <f>C14-0.01</f>
        <v>0.1</v>
      </c>
      <c r="D13" s="440">
        <v>156999.2382611252</v>
      </c>
      <c r="E13" s="435">
        <v>164167.84120113583</v>
      </c>
      <c r="F13" s="435">
        <v>172232.51950864779</v>
      </c>
      <c r="G13" s="435">
        <v>181372.48825716131</v>
      </c>
      <c r="H13" s="441">
        <v>191818.16682689107</v>
      </c>
      <c r="J13" s="507"/>
      <c r="K13" s="199">
        <f>C13</f>
        <v>0.1</v>
      </c>
      <c r="L13" s="440">
        <f t="shared" si="0"/>
        <v>168514.72451074069</v>
      </c>
      <c r="M13" s="435">
        <f t="shared" si="0"/>
        <v>175683.32745075133</v>
      </c>
      <c r="N13" s="435">
        <f t="shared" si="0"/>
        <v>183748.00575826329</v>
      </c>
      <c r="O13" s="435">
        <f t="shared" si="0"/>
        <v>192887.97450677681</v>
      </c>
      <c r="P13" s="441">
        <f t="shared" si="0"/>
        <v>203333.65307650657</v>
      </c>
      <c r="Q13" s="23"/>
    </row>
    <row r="14" spans="1:22" ht="21">
      <c r="A14" s="184"/>
      <c r="B14" s="506"/>
      <c r="C14" s="297">
        <f>Assumptions!H43</f>
        <v>0.11</v>
      </c>
      <c r="D14" s="440">
        <v>141325.40815925412</v>
      </c>
      <c r="E14" s="435">
        <v>146942.98693420607</v>
      </c>
      <c r="F14" s="472">
        <v>153184.74112859712</v>
      </c>
      <c r="G14" s="435">
        <v>160160.81934585772</v>
      </c>
      <c r="H14" s="441">
        <v>168008.90734027585</v>
      </c>
      <c r="J14" s="507"/>
      <c r="K14" s="199">
        <f>C14</f>
        <v>0.11</v>
      </c>
      <c r="L14" s="440">
        <f t="shared" si="0"/>
        <v>152840.89440886962</v>
      </c>
      <c r="M14" s="435">
        <f t="shared" si="0"/>
        <v>158458.47318382157</v>
      </c>
      <c r="N14" s="472">
        <f t="shared" si="0"/>
        <v>164700.22737821261</v>
      </c>
      <c r="O14" s="435">
        <f t="shared" si="0"/>
        <v>171676.30559547321</v>
      </c>
      <c r="P14" s="441">
        <f t="shared" si="0"/>
        <v>179524.39358989135</v>
      </c>
      <c r="Q14" s="14"/>
    </row>
    <row r="15" spans="1:22" ht="16.5">
      <c r="A15" s="187"/>
      <c r="B15" s="506"/>
      <c r="C15" s="199">
        <f>C14+0.01</f>
        <v>0.12</v>
      </c>
      <c r="D15" s="440">
        <v>128513.92019362724</v>
      </c>
      <c r="E15" s="435">
        <v>133011.44581984606</v>
      </c>
      <c r="F15" s="435">
        <v>137958.72400868672</v>
      </c>
      <c r="G15" s="435">
        <v>143426.76832266856</v>
      </c>
      <c r="H15" s="441">
        <v>149502.3731159817</v>
      </c>
      <c r="J15" s="507"/>
      <c r="K15" s="199">
        <f>C15</f>
        <v>0.12</v>
      </c>
      <c r="L15" s="440">
        <f t="shared" si="0"/>
        <v>140029.40644324271</v>
      </c>
      <c r="M15" s="435">
        <f t="shared" si="0"/>
        <v>144526.93206946156</v>
      </c>
      <c r="N15" s="435">
        <f t="shared" si="0"/>
        <v>149474.21025830222</v>
      </c>
      <c r="O15" s="435">
        <f t="shared" si="0"/>
        <v>154942.25457228406</v>
      </c>
      <c r="P15" s="441">
        <f t="shared" si="0"/>
        <v>161017.85936559719</v>
      </c>
      <c r="Q15" s="14"/>
    </row>
    <row r="16" spans="1:22" ht="15.75">
      <c r="B16" s="506"/>
      <c r="C16" s="199">
        <f>C15+0.01</f>
        <v>0.13</v>
      </c>
      <c r="D16" s="442">
        <v>117848.74094062693</v>
      </c>
      <c r="E16" s="443">
        <v>121513.65295265488</v>
      </c>
      <c r="F16" s="443">
        <v>125511.73878395811</v>
      </c>
      <c r="G16" s="443">
        <v>129890.59469443306</v>
      </c>
      <c r="H16" s="444">
        <v>134707.33619595552</v>
      </c>
      <c r="J16" s="507"/>
      <c r="K16" s="199">
        <f>C16</f>
        <v>0.13</v>
      </c>
      <c r="L16" s="442">
        <f t="shared" si="0"/>
        <v>129364.22719024241</v>
      </c>
      <c r="M16" s="443">
        <f t="shared" si="0"/>
        <v>133029.13920227037</v>
      </c>
      <c r="N16" s="443">
        <f t="shared" si="0"/>
        <v>137027.22503357357</v>
      </c>
      <c r="O16" s="443">
        <f t="shared" si="0"/>
        <v>141406.08094404853</v>
      </c>
      <c r="P16" s="444">
        <f t="shared" si="0"/>
        <v>146222.82244557102</v>
      </c>
      <c r="Q16" s="186"/>
    </row>
    <row r="17" spans="2:17" ht="16.5">
      <c r="B17" s="23"/>
      <c r="C17" s="23"/>
      <c r="D17" s="23"/>
      <c r="E17" s="23"/>
      <c r="F17" s="23"/>
      <c r="N17" s="23"/>
      <c r="O17" s="23"/>
      <c r="P17" s="23"/>
      <c r="Q17" s="23"/>
    </row>
    <row r="18" spans="2:17" ht="16.5">
      <c r="I18" s="169"/>
    </row>
    <row r="19" spans="2:17" ht="16.5">
      <c r="B19" s="191" t="s">
        <v>247</v>
      </c>
      <c r="C19" s="192"/>
      <c r="D19" s="208"/>
      <c r="E19" s="192"/>
      <c r="F19" s="192"/>
      <c r="G19" s="192"/>
      <c r="H19" s="192"/>
      <c r="I19" s="23"/>
      <c r="K19" s="191" t="s">
        <v>265</v>
      </c>
      <c r="L19" s="192"/>
      <c r="M19" s="208"/>
      <c r="N19" s="192"/>
      <c r="O19" s="192"/>
      <c r="P19" s="192"/>
    </row>
    <row r="20" spans="2:17" ht="16.5">
      <c r="B20" s="193"/>
      <c r="C20" s="193"/>
      <c r="D20" s="193"/>
      <c r="E20" s="193"/>
      <c r="F20" s="193"/>
      <c r="G20" s="193"/>
      <c r="H20" s="193"/>
      <c r="I20" s="23"/>
      <c r="J20" s="193"/>
      <c r="K20" s="193"/>
      <c r="L20" s="193"/>
      <c r="M20" s="193"/>
      <c r="N20" s="193"/>
      <c r="O20" s="193"/>
      <c r="P20" s="193"/>
    </row>
    <row r="21" spans="2:17" ht="16.5">
      <c r="B21" s="23"/>
      <c r="C21" s="197"/>
      <c r="D21" s="198" t="s">
        <v>263</v>
      </c>
      <c r="E21" s="192"/>
      <c r="F21" s="192"/>
      <c r="G21" s="192"/>
      <c r="H21" s="192"/>
      <c r="I21" s="194"/>
      <c r="K21" s="197"/>
      <c r="L21" s="198" t="s">
        <v>263</v>
      </c>
      <c r="M21" s="192"/>
      <c r="N21" s="192"/>
      <c r="O21" s="192"/>
      <c r="P21" s="192"/>
    </row>
    <row r="22" spans="2:17" ht="16.5" customHeight="1">
      <c r="B22" s="23"/>
      <c r="C22" s="200"/>
      <c r="D22" s="199">
        <f>L11</f>
        <v>9.9999999999999985E-3</v>
      </c>
      <c r="E22" s="199">
        <f>M11</f>
        <v>1.4999999999999999E-2</v>
      </c>
      <c r="F22" s="199">
        <f>N11</f>
        <v>0.02</v>
      </c>
      <c r="G22" s="199">
        <f>O11</f>
        <v>2.5000000000000001E-2</v>
      </c>
      <c r="H22" s="199">
        <f>P11</f>
        <v>3.0000000000000002E-2</v>
      </c>
      <c r="I22" s="169"/>
      <c r="K22" s="169"/>
      <c r="L22" s="214">
        <f>D22</f>
        <v>9.9999999999999985E-3</v>
      </c>
      <c r="M22" s="214">
        <f>E22</f>
        <v>1.4999999999999999E-2</v>
      </c>
      <c r="N22" s="214">
        <f>F22</f>
        <v>0.02</v>
      </c>
      <c r="O22" s="214">
        <f>G22</f>
        <v>2.5000000000000001E-2</v>
      </c>
      <c r="P22" s="214">
        <f>H22</f>
        <v>3.0000000000000002E-2</v>
      </c>
    </row>
    <row r="23" spans="2:17" ht="20.25" customHeight="1">
      <c r="B23" s="506" t="s">
        <v>105</v>
      </c>
      <c r="C23" s="199">
        <f>K12</f>
        <v>9.0000000000000011E-2</v>
      </c>
      <c r="D23" s="437">
        <f t="shared" ref="D23:H27" si="1">L12/$H$61</f>
        <v>800.67109648088126</v>
      </c>
      <c r="E23" s="438">
        <f t="shared" si="1"/>
        <v>840.65484919643609</v>
      </c>
      <c r="F23" s="438">
        <f t="shared" si="1"/>
        <v>886.35056658564167</v>
      </c>
      <c r="G23" s="438">
        <f t="shared" si="1"/>
        <v>939.0763943424173</v>
      </c>
      <c r="H23" s="439">
        <f t="shared" si="1"/>
        <v>1000.5898600586553</v>
      </c>
      <c r="I23" s="169"/>
      <c r="J23" s="507" t="s">
        <v>105</v>
      </c>
      <c r="K23" s="214">
        <f>C23</f>
        <v>9.0000000000000011E-2</v>
      </c>
      <c r="L23" s="445">
        <f t="shared" ref="L23:P27" si="2">$H$62/D23</f>
        <v>2.7476950394106456</v>
      </c>
      <c r="M23" s="446">
        <f t="shared" si="2"/>
        <v>2.6170074461628725</v>
      </c>
      <c r="N23" s="446">
        <f t="shared" si="2"/>
        <v>2.4820878814064931</v>
      </c>
      <c r="O23" s="446">
        <f t="shared" si="2"/>
        <v>2.3427274002990321</v>
      </c>
      <c r="P23" s="447">
        <f t="shared" si="2"/>
        <v>2.1987030728764676</v>
      </c>
    </row>
    <row r="24" spans="2:17" ht="16.5">
      <c r="B24" s="506"/>
      <c r="C24" s="199">
        <f>K13</f>
        <v>0.1</v>
      </c>
      <c r="D24" s="440">
        <f t="shared" si="1"/>
        <v>717.20867895677725</v>
      </c>
      <c r="E24" s="435">
        <f t="shared" si="1"/>
        <v>747.7186789552818</v>
      </c>
      <c r="F24" s="435">
        <f t="shared" si="1"/>
        <v>782.04242895359937</v>
      </c>
      <c r="G24" s="435">
        <f t="shared" si="1"/>
        <v>820.94267895169253</v>
      </c>
      <c r="H24" s="441">
        <f t="shared" si="1"/>
        <v>865.40010752094202</v>
      </c>
      <c r="I24" s="169"/>
      <c r="J24" s="507"/>
      <c r="K24" s="214">
        <f>C24</f>
        <v>0.1</v>
      </c>
      <c r="L24" s="448">
        <f t="shared" si="2"/>
        <v>3.0674475428825416</v>
      </c>
      <c r="M24" s="449">
        <f t="shared" si="2"/>
        <v>2.9422830563412656</v>
      </c>
      <c r="N24" s="449">
        <f t="shared" si="2"/>
        <v>2.8131465999148899</v>
      </c>
      <c r="O24" s="449">
        <f t="shared" si="2"/>
        <v>2.6798460555240013</v>
      </c>
      <c r="P24" s="450">
        <f t="shared" si="2"/>
        <v>2.5421767121132022</v>
      </c>
    </row>
    <row r="25" spans="2:17" ht="16.5">
      <c r="B25" s="506"/>
      <c r="C25" s="199">
        <f>K14</f>
        <v>0.11</v>
      </c>
      <c r="D25" s="440">
        <f t="shared" si="1"/>
        <v>650.49992686289465</v>
      </c>
      <c r="E25" s="435">
        <f t="shared" si="1"/>
        <v>674.40867586875447</v>
      </c>
      <c r="F25" s="472">
        <f t="shared" si="1"/>
        <v>700.97395254193202</v>
      </c>
      <c r="G25" s="435">
        <f t="shared" si="1"/>
        <v>730.66455588254234</v>
      </c>
      <c r="H25" s="441">
        <f t="shared" si="1"/>
        <v>764.06648464072885</v>
      </c>
      <c r="I25" s="169"/>
      <c r="J25" s="507"/>
      <c r="K25" s="214">
        <f>C25</f>
        <v>0.11</v>
      </c>
      <c r="L25" s="448">
        <f t="shared" si="2"/>
        <v>3.382014215758232</v>
      </c>
      <c r="M25" s="449">
        <f t="shared" si="2"/>
        <v>3.2621169903634786</v>
      </c>
      <c r="N25" s="473">
        <f t="shared" si="2"/>
        <v>3.1384903704655085</v>
      </c>
      <c r="O25" s="449">
        <f t="shared" si="2"/>
        <v>3.0109576033049836</v>
      </c>
      <c r="P25" s="450">
        <f t="shared" si="2"/>
        <v>2.8793305873564923</v>
      </c>
    </row>
    <row r="26" spans="2:17" ht="16.5">
      <c r="B26" s="506"/>
      <c r="C26" s="199">
        <f>K15</f>
        <v>0.12</v>
      </c>
      <c r="D26" s="440">
        <f t="shared" si="1"/>
        <v>595.97347295226155</v>
      </c>
      <c r="E26" s="435">
        <f t="shared" si="1"/>
        <v>615.11520921489353</v>
      </c>
      <c r="F26" s="435">
        <f t="shared" si="1"/>
        <v>636.17111910378833</v>
      </c>
      <c r="G26" s="435">
        <f t="shared" si="1"/>
        <v>659.44344055993542</v>
      </c>
      <c r="H26" s="441">
        <f t="shared" si="1"/>
        <v>685.30157551120988</v>
      </c>
      <c r="I26" s="169"/>
      <c r="J26" s="507"/>
      <c r="K26" s="214">
        <f>C26</f>
        <v>0.12</v>
      </c>
      <c r="L26" s="448">
        <f t="shared" si="2"/>
        <v>3.6914394681056946</v>
      </c>
      <c r="M26" s="449">
        <f t="shared" si="2"/>
        <v>3.5765657669365467</v>
      </c>
      <c r="N26" s="449">
        <f t="shared" si="2"/>
        <v>3.4581890531265698</v>
      </c>
      <c r="O26" s="449">
        <f t="shared" si="2"/>
        <v>3.3361466119550349</v>
      </c>
      <c r="P26" s="450">
        <f t="shared" si="2"/>
        <v>3.2102654927633583</v>
      </c>
    </row>
    <row r="27" spans="2:17" ht="16.5">
      <c r="B27" s="506"/>
      <c r="C27" s="199">
        <f>K16</f>
        <v>0.13</v>
      </c>
      <c r="D27" s="442">
        <f t="shared" si="1"/>
        <v>550.58183643450411</v>
      </c>
      <c r="E27" s="443">
        <f t="shared" si="1"/>
        <v>566.17991968966714</v>
      </c>
      <c r="F27" s="443">
        <f t="shared" si="1"/>
        <v>583.19601051348127</v>
      </c>
      <c r="G27" s="443">
        <f t="shared" si="1"/>
        <v>601.832681415754</v>
      </c>
      <c r="H27" s="444">
        <f t="shared" si="1"/>
        <v>622.33301940825413</v>
      </c>
      <c r="I27" s="169"/>
      <c r="J27" s="507"/>
      <c r="K27" s="214">
        <f>C27</f>
        <v>0.13</v>
      </c>
      <c r="L27" s="451">
        <f t="shared" si="2"/>
        <v>3.9957729340417618</v>
      </c>
      <c r="M27" s="452">
        <f t="shared" si="2"/>
        <v>3.8856906144002026</v>
      </c>
      <c r="N27" s="452">
        <f t="shared" si="2"/>
        <v>3.7723166145512312</v>
      </c>
      <c r="O27" s="452">
        <f t="shared" si="2"/>
        <v>3.6555010519281037</v>
      </c>
      <c r="P27" s="453">
        <f t="shared" si="2"/>
        <v>3.5350848041003382</v>
      </c>
    </row>
    <row r="28" spans="2:17" ht="16.5">
      <c r="B28" s="23"/>
      <c r="C28" s="169"/>
      <c r="D28" s="169"/>
      <c r="E28" s="169"/>
      <c r="F28" s="169"/>
      <c r="G28" s="169"/>
    </row>
    <row r="29" spans="2:17" ht="16.5">
      <c r="B29" s="23"/>
      <c r="C29" s="169"/>
      <c r="D29" s="169"/>
      <c r="E29" s="169"/>
      <c r="F29" s="169"/>
      <c r="G29" s="169"/>
      <c r="H29" s="169"/>
      <c r="I29" s="169"/>
      <c r="J29" s="169"/>
      <c r="K29" s="169"/>
      <c r="L29" s="191"/>
      <c r="M29" s="192"/>
      <c r="N29" s="192"/>
      <c r="O29" s="192"/>
      <c r="P29" s="192"/>
      <c r="Q29" s="23"/>
    </row>
    <row r="30" spans="2:17" ht="26.25">
      <c r="B30" s="26" t="s">
        <v>266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6"/>
      <c r="N30" s="27"/>
      <c r="O30" s="27"/>
      <c r="P30" s="27"/>
      <c r="Q30" s="23"/>
    </row>
    <row r="31" spans="2:17" ht="16.5">
      <c r="I31" s="61"/>
      <c r="J31" s="61"/>
      <c r="K31" s="61"/>
      <c r="L31" s="61"/>
      <c r="M31" s="61"/>
      <c r="N31" s="61"/>
      <c r="O31" s="61"/>
      <c r="P31" s="61"/>
      <c r="Q31" s="23"/>
    </row>
    <row r="32" spans="2:17" ht="16.5">
      <c r="B32" s="190" t="s">
        <v>267</v>
      </c>
      <c r="C32" s="179"/>
      <c r="D32" s="208"/>
      <c r="E32" s="179"/>
      <c r="F32" s="179"/>
      <c r="G32" s="179"/>
      <c r="H32" s="179"/>
      <c r="J32" s="190" t="s">
        <v>242</v>
      </c>
      <c r="K32" s="179"/>
      <c r="L32" s="208"/>
      <c r="M32" s="179"/>
      <c r="N32" s="179"/>
      <c r="O32" s="179"/>
      <c r="P32" s="179"/>
      <c r="Q32" s="23"/>
    </row>
    <row r="33" spans="1:16" ht="16.5">
      <c r="B33" s="180"/>
      <c r="C33" s="180"/>
      <c r="D33" s="180"/>
      <c r="E33" s="180"/>
      <c r="F33" s="180"/>
      <c r="G33" s="180"/>
      <c r="H33" s="180"/>
      <c r="J33" s="180"/>
      <c r="K33" s="180"/>
      <c r="L33" s="180"/>
      <c r="M33" s="180"/>
      <c r="N33" s="180"/>
      <c r="O33" s="180"/>
      <c r="P33" s="180"/>
    </row>
    <row r="34" spans="1:16" ht="22.5" customHeight="1">
      <c r="B34" s="194"/>
      <c r="C34" s="195"/>
      <c r="D34" s="196" t="s">
        <v>251</v>
      </c>
      <c r="E34" s="179"/>
      <c r="F34" s="179"/>
      <c r="G34" s="179"/>
      <c r="H34" s="179"/>
      <c r="J34" s="194"/>
      <c r="K34" s="194"/>
      <c r="L34" s="196" t="s">
        <v>251</v>
      </c>
      <c r="M34" s="179"/>
      <c r="N34" s="179"/>
      <c r="O34" s="179"/>
      <c r="P34" s="179"/>
    </row>
    <row r="35" spans="1:16" ht="16.5">
      <c r="C35" s="491">
        <f ca="1">Valuation_DCF!F102</f>
        <v>141850.1144290443</v>
      </c>
      <c r="D35" s="206">
        <f>E35-0.5</f>
        <v>6</v>
      </c>
      <c r="E35" s="206">
        <f>F35-0.5</f>
        <v>6.5</v>
      </c>
      <c r="F35" s="298">
        <f>Assumptions!H62</f>
        <v>7</v>
      </c>
      <c r="G35" s="206">
        <f>+F35+0.5</f>
        <v>7.5</v>
      </c>
      <c r="H35" s="206">
        <f>+G35+0.5</f>
        <v>8</v>
      </c>
      <c r="J35" s="169"/>
      <c r="K35" s="201"/>
      <c r="L35" s="206">
        <f>D35</f>
        <v>6</v>
      </c>
      <c r="M35" s="206">
        <f>E35</f>
        <v>6.5</v>
      </c>
      <c r="N35" s="210">
        <f>F35</f>
        <v>7</v>
      </c>
      <c r="O35" s="206">
        <f>G35</f>
        <v>7.5</v>
      </c>
      <c r="P35" s="206">
        <f>H35</f>
        <v>8</v>
      </c>
    </row>
    <row r="36" spans="1:16" ht="16.5" customHeight="1">
      <c r="B36" s="506" t="s">
        <v>105</v>
      </c>
      <c r="C36" s="199">
        <f>C37-0.01</f>
        <v>9.0000000000000011E-2</v>
      </c>
      <c r="D36" s="437">
        <f t="dataTable" ref="D36:H40" dt2D="1" dtr="1" r1="H58" r2="H57" ca="1"/>
        <v>136877.3301175636</v>
      </c>
      <c r="E36" s="438">
        <v>144447.61578063128</v>
      </c>
      <c r="F36" s="438">
        <v>152017.901443699</v>
      </c>
      <c r="G36" s="438">
        <v>159588.18710676668</v>
      </c>
      <c r="H36" s="439">
        <v>167158.47276983439</v>
      </c>
      <c r="J36" s="507" t="s">
        <v>105</v>
      </c>
      <c r="K36" s="199">
        <f>C36</f>
        <v>9.0000000000000011E-2</v>
      </c>
      <c r="L36" s="454">
        <f t="shared" ref="L36:P40" si="3">D36-$H$59+$H$60</f>
        <v>148392.8163671791</v>
      </c>
      <c r="M36" s="455">
        <f t="shared" si="3"/>
        <v>155963.10203024678</v>
      </c>
      <c r="N36" s="455">
        <f t="shared" si="3"/>
        <v>163533.38769331449</v>
      </c>
      <c r="O36" s="455">
        <f t="shared" si="3"/>
        <v>171103.67335638218</v>
      </c>
      <c r="P36" s="456">
        <f t="shared" si="3"/>
        <v>178673.95901944989</v>
      </c>
    </row>
    <row r="37" spans="1:16">
      <c r="B37" s="506"/>
      <c r="C37" s="199">
        <f>C38-0.01</f>
        <v>0.1</v>
      </c>
      <c r="D37" s="440">
        <v>132283.10205967524</v>
      </c>
      <c r="E37" s="435">
        <v>139548.03862470461</v>
      </c>
      <c r="F37" s="435">
        <v>146812.97518973396</v>
      </c>
      <c r="G37" s="435">
        <v>154077.91175476328</v>
      </c>
      <c r="H37" s="441">
        <v>161342.84831979265</v>
      </c>
      <c r="J37" s="507"/>
      <c r="K37" s="199">
        <f>C37</f>
        <v>0.1</v>
      </c>
      <c r="L37" s="457">
        <f t="shared" si="3"/>
        <v>143798.5883092907</v>
      </c>
      <c r="M37" s="458">
        <f t="shared" si="3"/>
        <v>151063.52487432011</v>
      </c>
      <c r="N37" s="458">
        <f t="shared" si="3"/>
        <v>158328.46143934946</v>
      </c>
      <c r="O37" s="458">
        <f t="shared" si="3"/>
        <v>165593.39800437877</v>
      </c>
      <c r="P37" s="459">
        <f t="shared" si="3"/>
        <v>172858.33456940815</v>
      </c>
    </row>
    <row r="38" spans="1:16">
      <c r="B38" s="506"/>
      <c r="C38" s="297">
        <f>Assumptions!H43</f>
        <v>0.11</v>
      </c>
      <c r="D38" s="440">
        <v>127901.11048428307</v>
      </c>
      <c r="E38" s="435">
        <v>134875.61245666369</v>
      </c>
      <c r="F38" s="472">
        <v>141850.1144290443</v>
      </c>
      <c r="G38" s="435">
        <v>148824.61640142492</v>
      </c>
      <c r="H38" s="441">
        <v>155799.11837380557</v>
      </c>
      <c r="J38" s="507"/>
      <c r="K38" s="209">
        <f>C38</f>
        <v>0.11</v>
      </c>
      <c r="L38" s="457">
        <f t="shared" si="3"/>
        <v>139416.59673389854</v>
      </c>
      <c r="M38" s="458">
        <f t="shared" si="3"/>
        <v>146391.09870627918</v>
      </c>
      <c r="N38" s="474">
        <f t="shared" si="3"/>
        <v>153365.6006786598</v>
      </c>
      <c r="O38" s="458">
        <f t="shared" si="3"/>
        <v>160340.10265104042</v>
      </c>
      <c r="P38" s="459">
        <f t="shared" si="3"/>
        <v>167314.60462342107</v>
      </c>
    </row>
    <row r="39" spans="1:16">
      <c r="B39" s="506"/>
      <c r="C39" s="199">
        <f>C38+0.01</f>
        <v>0.12</v>
      </c>
      <c r="D39" s="440">
        <v>123719.57340498411</v>
      </c>
      <c r="E39" s="435">
        <v>130417.7021348071</v>
      </c>
      <c r="F39" s="435">
        <v>137115.83086463006</v>
      </c>
      <c r="G39" s="435">
        <v>143813.95959445304</v>
      </c>
      <c r="H39" s="441">
        <v>150512.08832427603</v>
      </c>
      <c r="J39" s="507"/>
      <c r="K39" s="199">
        <f>C39</f>
        <v>0.12</v>
      </c>
      <c r="L39" s="457">
        <f t="shared" si="3"/>
        <v>135235.05965459958</v>
      </c>
      <c r="M39" s="458">
        <f t="shared" si="3"/>
        <v>141933.18838442257</v>
      </c>
      <c r="N39" s="458">
        <f t="shared" si="3"/>
        <v>148631.31711424555</v>
      </c>
      <c r="O39" s="458">
        <f t="shared" si="3"/>
        <v>155329.44584406854</v>
      </c>
      <c r="P39" s="459">
        <f t="shared" si="3"/>
        <v>162027.57457389153</v>
      </c>
    </row>
    <row r="40" spans="1:16">
      <c r="B40" s="506"/>
      <c r="C40" s="199">
        <f>C39+0.01</f>
        <v>0.13</v>
      </c>
      <c r="D40" s="442">
        <v>119727.46507586158</v>
      </c>
      <c r="E40" s="443">
        <v>126162.48456791355</v>
      </c>
      <c r="F40" s="443">
        <v>132597.50405996549</v>
      </c>
      <c r="G40" s="443">
        <v>139032.52355201746</v>
      </c>
      <c r="H40" s="444">
        <v>145467.54304406943</v>
      </c>
      <c r="J40" s="507"/>
      <c r="K40" s="199">
        <f>C40</f>
        <v>0.13</v>
      </c>
      <c r="L40" s="460">
        <f t="shared" si="3"/>
        <v>131242.95132547704</v>
      </c>
      <c r="M40" s="461">
        <f t="shared" si="3"/>
        <v>137677.97081752901</v>
      </c>
      <c r="N40" s="461">
        <f t="shared" si="3"/>
        <v>144112.99030958099</v>
      </c>
      <c r="O40" s="461">
        <f t="shared" si="3"/>
        <v>150548.00980163296</v>
      </c>
      <c r="P40" s="462">
        <f t="shared" si="3"/>
        <v>156983.02929368493</v>
      </c>
    </row>
    <row r="41" spans="1:16" ht="16.5">
      <c r="A41" t="s">
        <v>76</v>
      </c>
      <c r="B41" s="83"/>
      <c r="C41" s="23"/>
    </row>
    <row r="43" spans="1:16" ht="16.5">
      <c r="B43" s="187"/>
      <c r="C43" s="191" t="s">
        <v>247</v>
      </c>
      <c r="D43" s="192"/>
      <c r="E43" s="208"/>
      <c r="F43" s="192"/>
      <c r="G43" s="192"/>
      <c r="H43" s="192"/>
      <c r="J43" s="191" t="s">
        <v>265</v>
      </c>
      <c r="K43" s="192"/>
      <c r="L43" s="208"/>
      <c r="M43" s="192"/>
      <c r="N43" s="192"/>
      <c r="O43" s="192"/>
      <c r="P43" s="192"/>
    </row>
    <row r="44" spans="1:16" ht="16.5">
      <c r="B44" s="187"/>
      <c r="C44" s="180"/>
      <c r="D44" s="180"/>
      <c r="E44" s="193"/>
      <c r="F44" s="193"/>
      <c r="G44" s="193"/>
      <c r="H44" s="193"/>
      <c r="J44" s="180"/>
      <c r="K44" s="180"/>
      <c r="L44" s="180"/>
      <c r="M44" s="193"/>
      <c r="N44" s="193"/>
      <c r="O44" s="193"/>
      <c r="P44" s="193"/>
    </row>
    <row r="45" spans="1:16" ht="16.5">
      <c r="B45" s="23"/>
      <c r="C45" s="197"/>
      <c r="D45" s="198" t="s">
        <v>251</v>
      </c>
      <c r="E45" s="192"/>
      <c r="F45" s="192"/>
      <c r="G45" s="192"/>
      <c r="H45" s="192"/>
      <c r="J45" s="197"/>
      <c r="K45" s="197"/>
      <c r="L45" s="198" t="s">
        <v>251</v>
      </c>
      <c r="M45" s="192"/>
      <c r="N45" s="192"/>
      <c r="O45" s="192"/>
      <c r="P45" s="192"/>
    </row>
    <row r="46" spans="1:16" ht="16.5">
      <c r="B46" s="169"/>
      <c r="C46" s="200"/>
      <c r="D46" s="206">
        <f>D35</f>
        <v>6</v>
      </c>
      <c r="E46" s="206">
        <f>E35</f>
        <v>6.5</v>
      </c>
      <c r="F46" s="210">
        <f>F35</f>
        <v>7</v>
      </c>
      <c r="G46" s="206">
        <f>G35</f>
        <v>7.5</v>
      </c>
      <c r="H46" s="206">
        <f>H35</f>
        <v>8</v>
      </c>
      <c r="J46" s="169"/>
      <c r="K46" s="201"/>
      <c r="L46" s="206">
        <f>L35</f>
        <v>6</v>
      </c>
      <c r="M46" s="206">
        <f>M35</f>
        <v>6.5</v>
      </c>
      <c r="N46" s="210">
        <f>N35</f>
        <v>7</v>
      </c>
      <c r="O46" s="206">
        <f>O35</f>
        <v>7.5</v>
      </c>
      <c r="P46" s="206">
        <f>P35</f>
        <v>8</v>
      </c>
    </row>
    <row r="47" spans="1:16" ht="16.5" customHeight="1">
      <c r="B47" s="506" t="s">
        <v>105</v>
      </c>
      <c r="C47" s="199">
        <f>C36</f>
        <v>9.0000000000000011E-2</v>
      </c>
      <c r="D47" s="454">
        <f t="shared" ref="D47:H51" si="4">L36/$H$61</f>
        <v>631.5686424576902</v>
      </c>
      <c r="E47" s="455">
        <f t="shared" si="4"/>
        <v>663.7882279894468</v>
      </c>
      <c r="F47" s="455">
        <f t="shared" si="4"/>
        <v>696.00781352120339</v>
      </c>
      <c r="G47" s="455">
        <f t="shared" si="4"/>
        <v>728.22739905295998</v>
      </c>
      <c r="H47" s="456">
        <f t="shared" si="4"/>
        <v>760.44698458471669</v>
      </c>
      <c r="J47" s="507" t="s">
        <v>105</v>
      </c>
      <c r="K47" s="199">
        <f>K36</f>
        <v>9.0000000000000011E-2</v>
      </c>
      <c r="L47" s="463">
        <f t="shared" ref="L47:P51" si="5">$H$62/D47</f>
        <v>3.4833901687058213</v>
      </c>
      <c r="M47" s="464">
        <f t="shared" si="5"/>
        <v>3.3143100573862188</v>
      </c>
      <c r="N47" s="464">
        <f t="shared" si="5"/>
        <v>3.1608840551227209</v>
      </c>
      <c r="O47" s="464">
        <f t="shared" si="5"/>
        <v>3.0210343676453819</v>
      </c>
      <c r="P47" s="465">
        <f t="shared" si="5"/>
        <v>2.8930353392109631</v>
      </c>
    </row>
    <row r="48" spans="1:16" ht="16.5" customHeight="1">
      <c r="B48" s="506"/>
      <c r="C48" s="199">
        <f>C37</f>
        <v>0.1</v>
      </c>
      <c r="D48" s="457">
        <f t="shared" si="4"/>
        <v>612.01533490079305</v>
      </c>
      <c r="E48" s="458">
        <f t="shared" si="4"/>
        <v>642.93533653054635</v>
      </c>
      <c r="F48" s="458">
        <f t="shared" si="4"/>
        <v>673.85533816029942</v>
      </c>
      <c r="G48" s="458">
        <f t="shared" si="4"/>
        <v>704.77533979005227</v>
      </c>
      <c r="H48" s="459">
        <f t="shared" si="4"/>
        <v>735.69534141980546</v>
      </c>
      <c r="J48" s="507"/>
      <c r="K48" s="199">
        <f>K37</f>
        <v>0.1</v>
      </c>
      <c r="L48" s="466">
        <f t="shared" si="5"/>
        <v>3.5946811698053569</v>
      </c>
      <c r="M48" s="467">
        <f t="shared" si="5"/>
        <v>3.421806012206138</v>
      </c>
      <c r="N48" s="467">
        <f t="shared" si="5"/>
        <v>3.264795684495498</v>
      </c>
      <c r="O48" s="467">
        <f t="shared" si="5"/>
        <v>3.1215621146099761</v>
      </c>
      <c r="P48" s="468">
        <f t="shared" si="5"/>
        <v>2.990368262702682</v>
      </c>
    </row>
    <row r="49" spans="2:17" ht="16.5" customHeight="1">
      <c r="B49" s="506"/>
      <c r="C49" s="209">
        <f>C38</f>
        <v>0.11</v>
      </c>
      <c r="D49" s="457">
        <f t="shared" si="4"/>
        <v>593.36531842234331</v>
      </c>
      <c r="E49" s="458">
        <f t="shared" si="4"/>
        <v>623.04921317110006</v>
      </c>
      <c r="F49" s="474">
        <f t="shared" si="4"/>
        <v>652.73310791985659</v>
      </c>
      <c r="G49" s="458">
        <f t="shared" si="4"/>
        <v>682.41700266861324</v>
      </c>
      <c r="H49" s="459">
        <f t="shared" si="4"/>
        <v>712.10089741736988</v>
      </c>
      <c r="J49" s="507"/>
      <c r="K49" s="209">
        <f>K38</f>
        <v>0.11</v>
      </c>
      <c r="L49" s="466">
        <f t="shared" si="5"/>
        <v>3.7076652977451108</v>
      </c>
      <c r="M49" s="467">
        <f t="shared" si="5"/>
        <v>3.5310212315376797</v>
      </c>
      <c r="N49" s="475">
        <f t="shared" si="5"/>
        <v>3.3704434068175364</v>
      </c>
      <c r="O49" s="467">
        <f t="shared" si="5"/>
        <v>3.2238352669948589</v>
      </c>
      <c r="P49" s="468">
        <f t="shared" si="5"/>
        <v>3.0894498349586499</v>
      </c>
    </row>
    <row r="50" spans="2:17" ht="16.5" customHeight="1">
      <c r="B50" s="506"/>
      <c r="C50" s="199">
        <f>C39</f>
        <v>0.12</v>
      </c>
      <c r="D50" s="457">
        <f t="shared" si="4"/>
        <v>575.56844818824322</v>
      </c>
      <c r="E50" s="458">
        <f t="shared" si="4"/>
        <v>604.0760819973741</v>
      </c>
      <c r="F50" s="458">
        <f t="shared" si="4"/>
        <v>632.5837158065051</v>
      </c>
      <c r="G50" s="458">
        <f t="shared" si="4"/>
        <v>661.09134961563609</v>
      </c>
      <c r="H50" s="459">
        <f t="shared" si="4"/>
        <v>689.59898342476697</v>
      </c>
      <c r="J50" s="507"/>
      <c r="K50" s="199">
        <f>K39</f>
        <v>0.12</v>
      </c>
      <c r="L50" s="466">
        <f t="shared" si="5"/>
        <v>3.8223082014399727</v>
      </c>
      <c r="M50" s="467">
        <f t="shared" si="5"/>
        <v>3.641925356034148</v>
      </c>
      <c r="N50" s="467">
        <f t="shared" si="5"/>
        <v>3.4778005582947014</v>
      </c>
      <c r="O50" s="467">
        <f t="shared" si="5"/>
        <v>3.3278305657442018</v>
      </c>
      <c r="P50" s="468">
        <f t="shared" si="5"/>
        <v>3.190259923345744</v>
      </c>
    </row>
    <row r="51" spans="2:17" ht="16.5" customHeight="1">
      <c r="B51" s="506"/>
      <c r="C51" s="199">
        <f>C40</f>
        <v>0.13</v>
      </c>
      <c r="D51" s="460">
        <f t="shared" si="4"/>
        <v>558.57779796883267</v>
      </c>
      <c r="E51" s="461">
        <f t="shared" si="4"/>
        <v>585.96562323072271</v>
      </c>
      <c r="F51" s="461">
        <f t="shared" si="4"/>
        <v>613.35344849261276</v>
      </c>
      <c r="G51" s="461">
        <f t="shared" si="4"/>
        <v>640.7412737545028</v>
      </c>
      <c r="H51" s="462">
        <f t="shared" si="4"/>
        <v>668.12909901639284</v>
      </c>
      <c r="J51" s="507"/>
      <c r="K51" s="199">
        <f>K40</f>
        <v>0.13</v>
      </c>
      <c r="L51" s="469">
        <f t="shared" si="5"/>
        <v>3.9385740142195105</v>
      </c>
      <c r="M51" s="470">
        <f t="shared" si="5"/>
        <v>3.7544864626533809</v>
      </c>
      <c r="N51" s="470">
        <f t="shared" si="5"/>
        <v>3.5868388861377647</v>
      </c>
      <c r="O51" s="470">
        <f t="shared" si="5"/>
        <v>3.4335231553117027</v>
      </c>
      <c r="P51" s="471">
        <f t="shared" si="5"/>
        <v>3.2927768050198662</v>
      </c>
    </row>
    <row r="52" spans="2:17" ht="16.5">
      <c r="I52" s="169"/>
    </row>
    <row r="53" spans="2:17" ht="16.5">
      <c r="I53" s="169"/>
      <c r="Q53" s="186"/>
    </row>
    <row r="54" spans="2:17" ht="16.5">
      <c r="B54" s="190" t="s">
        <v>262</v>
      </c>
      <c r="C54" s="179"/>
      <c r="D54" s="179"/>
      <c r="E54" s="179"/>
      <c r="F54" s="179"/>
      <c r="G54" s="208"/>
      <c r="H54" s="208"/>
      <c r="I54" s="169"/>
      <c r="Q54" s="14"/>
    </row>
    <row r="55" spans="2:17" ht="16.5">
      <c r="B55" s="180"/>
      <c r="C55" s="180"/>
      <c r="D55" s="180"/>
      <c r="E55" s="180"/>
      <c r="F55" s="180"/>
      <c r="G55" s="180"/>
      <c r="H55" s="180"/>
      <c r="I55" s="169"/>
      <c r="Q55" s="186"/>
    </row>
    <row r="56" spans="2:17" ht="16.5">
      <c r="B56" s="46" t="s">
        <v>263</v>
      </c>
      <c r="C56" s="38"/>
      <c r="D56" s="181"/>
      <c r="F56" s="23"/>
      <c r="H56" s="182">
        <f>Assumptions!H61</f>
        <v>0.02</v>
      </c>
      <c r="I56" s="169"/>
      <c r="J56" s="23"/>
      <c r="K56" s="23"/>
      <c r="L56" s="23"/>
      <c r="M56" s="23"/>
      <c r="N56" s="23"/>
      <c r="O56" s="23"/>
      <c r="P56" s="23"/>
      <c r="Q56" s="23"/>
    </row>
    <row r="57" spans="2:17" ht="16.5" customHeight="1">
      <c r="B57" s="46" t="s">
        <v>105</v>
      </c>
      <c r="C57" s="23"/>
      <c r="D57" s="181"/>
      <c r="F57" s="183"/>
      <c r="H57" s="182">
        <f>Assumptions!H43</f>
        <v>0.11</v>
      </c>
      <c r="I57" s="169"/>
      <c r="J57" s="169"/>
      <c r="K57" s="169"/>
      <c r="L57" s="191"/>
      <c r="M57" s="192"/>
      <c r="N57" s="192"/>
      <c r="O57" s="192"/>
      <c r="P57" s="192"/>
      <c r="Q57" s="23"/>
    </row>
    <row r="58" spans="2:17" ht="16.5" customHeight="1">
      <c r="B58" s="46" t="s">
        <v>251</v>
      </c>
      <c r="C58" s="38"/>
      <c r="D58" s="181"/>
      <c r="H58" s="205">
        <f>Assumptions!H62</f>
        <v>7</v>
      </c>
      <c r="I58" s="169"/>
      <c r="J58" s="169"/>
      <c r="K58" s="169"/>
      <c r="L58" s="169"/>
      <c r="M58" s="169"/>
      <c r="N58" s="169"/>
      <c r="O58" s="169"/>
      <c r="P58" s="169"/>
      <c r="Q58" s="169"/>
    </row>
    <row r="59" spans="2:17" ht="16.5">
      <c r="B59" s="46" t="s">
        <v>245</v>
      </c>
      <c r="C59" s="23"/>
      <c r="D59" s="185"/>
      <c r="F59" s="183"/>
      <c r="H59" s="436">
        <f>Assumptions!H63</f>
        <v>1388.3175440396412</v>
      </c>
      <c r="I59" s="169"/>
      <c r="J59" s="169"/>
      <c r="K59" s="169"/>
      <c r="L59" s="169"/>
      <c r="M59" s="169"/>
      <c r="N59" s="169"/>
      <c r="O59" s="169"/>
      <c r="P59" s="169"/>
      <c r="Q59" s="169"/>
    </row>
    <row r="60" spans="2:17" ht="16.5">
      <c r="B60" s="46" t="s">
        <v>268</v>
      </c>
      <c r="H60" s="56">
        <f>Core_Model!L32+Core_Model!L33</f>
        <v>12903.803793655125</v>
      </c>
      <c r="I60" s="23"/>
      <c r="Q60" s="197"/>
    </row>
    <row r="61" spans="2:17" ht="16.5">
      <c r="B61" s="46" t="s">
        <v>244</v>
      </c>
      <c r="C61" s="38"/>
      <c r="D61" s="185"/>
      <c r="F61" s="183"/>
      <c r="H61" s="436">
        <f>Assumptions!H57</f>
        <v>234.95912619999999</v>
      </c>
      <c r="I61" s="23"/>
      <c r="Q61" s="169"/>
    </row>
    <row r="62" spans="2:17" ht="16.5" customHeight="1">
      <c r="B62" s="207" t="s">
        <v>264</v>
      </c>
      <c r="C62" s="188"/>
      <c r="D62" s="189"/>
      <c r="F62" s="183"/>
      <c r="H62" s="413">
        <v>2200</v>
      </c>
      <c r="I62" s="194"/>
      <c r="Q62" s="169"/>
    </row>
    <row r="63" spans="2:17" ht="16.5">
      <c r="I63" s="23"/>
      <c r="Q63" s="169"/>
    </row>
    <row r="64" spans="2:17" ht="16.5">
      <c r="I64" s="23"/>
      <c r="Q64" s="169"/>
    </row>
    <row r="65" spans="2:17" ht="16.5">
      <c r="Q65" s="169"/>
    </row>
    <row r="66" spans="2:17" ht="16.5">
      <c r="Q66" s="169"/>
    </row>
    <row r="67" spans="2:17" ht="16.5">
      <c r="Q67" s="23"/>
    </row>
    <row r="68" spans="2:17" ht="16.5" customHeight="1">
      <c r="Q68" s="23"/>
    </row>
    <row r="69" spans="2:17" ht="16.5">
      <c r="Q69" s="23"/>
    </row>
    <row r="70" spans="2:17" ht="16.5">
      <c r="Q70" s="23"/>
    </row>
    <row r="71" spans="2:17" ht="16.5">
      <c r="Q71" s="23"/>
    </row>
    <row r="72" spans="2:17" ht="16.5">
      <c r="Q72" s="23"/>
    </row>
    <row r="73" spans="2:17" ht="16.5">
      <c r="Q73" s="23"/>
    </row>
    <row r="74" spans="2:17" ht="16.5">
      <c r="Q74" s="23"/>
    </row>
    <row r="75" spans="2:17" ht="16.5">
      <c r="Q75" s="23"/>
    </row>
    <row r="76" spans="2:17" ht="16.5">
      <c r="I76" s="23"/>
      <c r="Q76" s="23"/>
    </row>
    <row r="77" spans="2:17" ht="16.5">
      <c r="I77" s="23"/>
      <c r="Q77" s="23"/>
    </row>
    <row r="78" spans="2:17" ht="16.5">
      <c r="I78" s="23"/>
      <c r="Q78" s="23"/>
    </row>
    <row r="79" spans="2:17" ht="16.5">
      <c r="I79" s="23"/>
      <c r="Q79" s="23"/>
    </row>
    <row r="80" spans="2:17" ht="16.5">
      <c r="B80" s="202"/>
      <c r="C80" s="199"/>
      <c r="D80" s="203"/>
      <c r="E80" s="203"/>
      <c r="F80" s="203"/>
      <c r="G80" s="203"/>
      <c r="H80" s="203"/>
      <c r="I80" s="169"/>
      <c r="J80" s="202"/>
      <c r="K80" s="199"/>
      <c r="L80" s="204"/>
      <c r="M80" s="204"/>
      <c r="N80" s="204"/>
      <c r="O80" s="204"/>
      <c r="P80" s="204"/>
      <c r="Q80" s="23"/>
    </row>
    <row r="81" spans="2:17">
      <c r="B81" s="202"/>
      <c r="C81" s="199"/>
    </row>
    <row r="82" spans="2:17" ht="16.5">
      <c r="B82" s="169"/>
      <c r="C82" s="169"/>
      <c r="D82" s="182"/>
      <c r="E82" s="182"/>
      <c r="F82" s="182"/>
      <c r="G82" s="182"/>
      <c r="H82" s="182"/>
      <c r="I82" s="23"/>
      <c r="J82" s="23"/>
      <c r="K82" s="23"/>
      <c r="L82" s="23"/>
      <c r="M82" s="23"/>
      <c r="N82" s="23"/>
      <c r="O82" s="23"/>
      <c r="P82" s="23"/>
      <c r="Q82" s="23"/>
    </row>
    <row r="83" spans="2:17" ht="16.5"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 t="s">
        <v>76</v>
      </c>
      <c r="Q83" s="23"/>
    </row>
  </sheetData>
  <mergeCells count="8">
    <mergeCell ref="B12:B16"/>
    <mergeCell ref="J47:J51"/>
    <mergeCell ref="J12:J16"/>
    <mergeCell ref="B23:B27"/>
    <mergeCell ref="J23:J27"/>
    <mergeCell ref="B36:B40"/>
    <mergeCell ref="J36:J40"/>
    <mergeCell ref="B47:B51"/>
  </mergeCells>
  <pageMargins left="0.40157480314960631" right="0.40157480314960631" top="0.40157480314960631" bottom="0.40157480314960631" header="0" footer="0"/>
  <pageSetup paperSize="9" scale="92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3</xdr:col>
                    <xdr:colOff>0</xdr:colOff>
                    <xdr:row>3</xdr:row>
                    <xdr:rowOff>200025</xdr:rowOff>
                  </from>
                  <to>
                    <xdr:col>4</xdr:col>
                    <xdr:colOff>400050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7E89-B5DA-4A2E-A5C3-23CB9D50D5F6}">
  <sheetPr>
    <pageSetUpPr fitToPage="1"/>
  </sheetPr>
  <dimension ref="B2:D16"/>
  <sheetViews>
    <sheetView zoomScale="108" zoomScaleNormal="100" workbookViewId="0"/>
  </sheetViews>
  <sheetFormatPr defaultRowHeight="15"/>
  <cols>
    <col min="1" max="1" width="6.42578125" customWidth="1"/>
    <col min="3" max="3" width="32.7109375" style="115" customWidth="1"/>
    <col min="4" max="4" width="13.85546875" style="115" bestFit="1" customWidth="1"/>
  </cols>
  <sheetData>
    <row r="2" spans="2:4" ht="15.75">
      <c r="B2" s="98" t="s">
        <v>136</v>
      </c>
      <c r="C2" s="286" t="s">
        <v>137</v>
      </c>
      <c r="D2" s="287" t="s">
        <v>138</v>
      </c>
    </row>
    <row r="3" spans="2:4">
      <c r="B3" s="240">
        <v>1</v>
      </c>
      <c r="C3" s="239" t="s">
        <v>125</v>
      </c>
      <c r="D3" s="13"/>
    </row>
    <row r="4" spans="2:4">
      <c r="B4" s="240">
        <v>2</v>
      </c>
      <c r="C4" s="239" t="s">
        <v>146</v>
      </c>
      <c r="D4" s="242">
        <f>8625/1355</f>
        <v>6.3653136531365311</v>
      </c>
    </row>
    <row r="5" spans="2:4">
      <c r="B5" s="240">
        <v>3</v>
      </c>
      <c r="C5" s="239" t="s">
        <v>126</v>
      </c>
      <c r="D5" s="242">
        <f>(12004-465)/808</f>
        <v>14.280940594059405</v>
      </c>
    </row>
    <row r="6" spans="2:4">
      <c r="B6" s="240">
        <v>4</v>
      </c>
      <c r="C6" s="239" t="s">
        <v>135</v>
      </c>
      <c r="D6" s="13"/>
    </row>
    <row r="7" spans="2:4">
      <c r="B7" s="240">
        <v>5</v>
      </c>
      <c r="C7" s="241" t="s">
        <v>134</v>
      </c>
      <c r="D7" s="13"/>
    </row>
    <row r="8" spans="2:4">
      <c r="B8" s="240">
        <v>6</v>
      </c>
      <c r="C8" s="239" t="s">
        <v>131</v>
      </c>
      <c r="D8" s="13"/>
    </row>
    <row r="9" spans="2:4">
      <c r="B9" s="240">
        <v>7</v>
      </c>
      <c r="C9" s="239" t="s">
        <v>133</v>
      </c>
      <c r="D9" s="13"/>
    </row>
    <row r="10" spans="2:4">
      <c r="B10" s="240">
        <v>8</v>
      </c>
      <c r="C10" s="239" t="s">
        <v>141</v>
      </c>
      <c r="D10" s="13"/>
    </row>
    <row r="11" spans="2:4">
      <c r="B11" s="240">
        <v>9</v>
      </c>
      <c r="C11" s="239" t="s">
        <v>144</v>
      </c>
      <c r="D11" s="239" t="s">
        <v>145</v>
      </c>
    </row>
    <row r="12" spans="2:4">
      <c r="B12" s="240">
        <v>10</v>
      </c>
      <c r="C12" s="33" t="s">
        <v>157</v>
      </c>
      <c r="D12" s="13"/>
    </row>
    <row r="13" spans="2:4">
      <c r="B13" s="240">
        <v>11</v>
      </c>
      <c r="C13" s="13" t="s">
        <v>185</v>
      </c>
      <c r="D13" s="13"/>
    </row>
    <row r="14" spans="2:4">
      <c r="B14" s="240">
        <v>12</v>
      </c>
      <c r="C14" s="13" t="s">
        <v>192</v>
      </c>
      <c r="D14" s="13"/>
    </row>
    <row r="15" spans="2:4">
      <c r="B15" s="240">
        <v>13</v>
      </c>
      <c r="C15" s="13" t="s">
        <v>199</v>
      </c>
      <c r="D15" s="13"/>
    </row>
    <row r="16" spans="2:4">
      <c r="B16" s="240">
        <v>14</v>
      </c>
      <c r="C16" s="13" t="s">
        <v>246</v>
      </c>
      <c r="D16" s="13"/>
    </row>
  </sheetData>
  <pageMargins left="0.40157480314960631" right="0.47244094488188981" top="0.40157480314960631" bottom="0.40157480314960631" header="0" footer="0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D073-AA1E-427E-A36A-65F9D5C45633}">
  <dimension ref="B2:L33"/>
  <sheetViews>
    <sheetView workbookViewId="0">
      <selection activeCell="B2" sqref="A2:XFD33"/>
    </sheetView>
  </sheetViews>
  <sheetFormatPr defaultRowHeight="15"/>
  <sheetData>
    <row r="2" spans="2:12" ht="26.25">
      <c r="B2" s="26" t="s">
        <v>63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2:12">
      <c r="B3" s="4" t="s">
        <v>16</v>
      </c>
    </row>
    <row r="4" spans="2:12" ht="26.25">
      <c r="B4" s="24" t="s">
        <v>0</v>
      </c>
      <c r="C4" s="25" t="s">
        <v>1</v>
      </c>
      <c r="D4" s="25"/>
      <c r="E4" s="35">
        <v>2023</v>
      </c>
      <c r="F4" s="35">
        <v>2024</v>
      </c>
      <c r="G4" s="35">
        <v>2025</v>
      </c>
      <c r="H4" s="104">
        <f>Schedules!H26</f>
        <v>2026</v>
      </c>
      <c r="I4" s="104">
        <f>Schedules!I26</f>
        <v>2027</v>
      </c>
      <c r="J4" s="104">
        <f>Schedules!J26</f>
        <v>2028</v>
      </c>
      <c r="K4" s="104">
        <f>Schedules!K26</f>
        <v>2029</v>
      </c>
      <c r="L4" s="104">
        <f>Schedules!L26</f>
        <v>2030</v>
      </c>
    </row>
    <row r="6" spans="2:12" ht="15.75">
      <c r="B6" s="108" t="s">
        <v>64</v>
      </c>
      <c r="C6" s="109"/>
      <c r="D6" s="110"/>
      <c r="E6" s="110"/>
      <c r="F6" s="110"/>
      <c r="G6" s="110"/>
      <c r="H6" s="111"/>
      <c r="I6" s="16"/>
      <c r="J6" s="16"/>
      <c r="K6" s="16"/>
      <c r="L6" s="16"/>
    </row>
    <row r="7" spans="2:12" ht="15.75">
      <c r="B7" s="108"/>
      <c r="C7" s="109"/>
      <c r="D7" s="110"/>
      <c r="E7" s="110"/>
      <c r="F7" s="110"/>
      <c r="G7" s="110"/>
      <c r="H7" s="111"/>
      <c r="I7" s="16"/>
      <c r="J7" s="16"/>
      <c r="K7" s="16"/>
      <c r="L7" s="16"/>
    </row>
    <row r="8" spans="2:12" ht="15.75">
      <c r="B8" s="112" t="s">
        <v>65</v>
      </c>
      <c r="C8" s="109"/>
      <c r="D8" s="110"/>
      <c r="E8" s="110">
        <f>D10</f>
        <v>0</v>
      </c>
      <c r="F8" s="110">
        <f>E10</f>
        <v>0</v>
      </c>
      <c r="G8" s="110">
        <f>F10</f>
        <v>0</v>
      </c>
      <c r="H8" s="16"/>
      <c r="I8" s="16"/>
      <c r="J8" s="16"/>
      <c r="K8" s="16"/>
      <c r="L8" s="16"/>
    </row>
    <row r="9" spans="2:12" ht="15.75">
      <c r="B9" s="112" t="s">
        <v>56</v>
      </c>
      <c r="C9" s="109"/>
      <c r="D9" s="110"/>
      <c r="E9" s="110">
        <v>0</v>
      </c>
      <c r="F9" s="110">
        <v>0</v>
      </c>
      <c r="G9" s="110">
        <v>0</v>
      </c>
      <c r="H9" s="16"/>
      <c r="I9" s="16"/>
      <c r="J9" s="16"/>
      <c r="K9" s="16"/>
      <c r="L9" s="16"/>
    </row>
    <row r="10" spans="2:12" ht="15.75">
      <c r="B10" s="112" t="s">
        <v>66</v>
      </c>
      <c r="C10" s="109"/>
      <c r="D10" s="110">
        <v>0</v>
      </c>
      <c r="E10" s="110">
        <f>SUM(E8:E9)</f>
        <v>0</v>
      </c>
      <c r="F10" s="110">
        <f>SUM(F8:F9)</f>
        <v>0</v>
      </c>
      <c r="G10" s="110">
        <f>SUM(G8:G9)</f>
        <v>0</v>
      </c>
      <c r="H10" s="16"/>
      <c r="I10" s="16"/>
      <c r="J10" s="16"/>
      <c r="K10" s="16"/>
      <c r="L10" s="16"/>
    </row>
    <row r="11" spans="2:12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2:12" ht="16.5">
      <c r="B12" s="108" t="s">
        <v>67</v>
      </c>
      <c r="C12" s="109"/>
      <c r="D12" s="113"/>
      <c r="E12" s="113"/>
      <c r="F12" s="113"/>
      <c r="G12" s="113"/>
      <c r="H12" s="16"/>
      <c r="I12" s="16"/>
      <c r="J12" s="16"/>
      <c r="K12" s="16"/>
      <c r="L12" s="16"/>
    </row>
    <row r="13" spans="2:12" ht="15.75">
      <c r="B13" s="108"/>
      <c r="C13" s="109"/>
      <c r="D13" s="16"/>
      <c r="E13" s="16"/>
      <c r="F13" s="16"/>
      <c r="G13" s="16"/>
      <c r="H13" s="16"/>
      <c r="I13" s="16"/>
      <c r="J13" s="16"/>
      <c r="K13" s="16"/>
      <c r="L13" s="16"/>
    </row>
    <row r="14" spans="2:12" ht="15.75">
      <c r="B14" s="112" t="s">
        <v>68</v>
      </c>
      <c r="C14" s="109"/>
      <c r="D14" s="16"/>
      <c r="E14" s="16"/>
      <c r="F14" s="16"/>
      <c r="G14" s="16"/>
      <c r="H14" s="16"/>
      <c r="I14" s="16"/>
      <c r="J14" s="16"/>
      <c r="K14" s="16"/>
      <c r="L14" s="16"/>
    </row>
    <row r="15" spans="2:12" ht="15.75">
      <c r="B15" s="112" t="s">
        <v>69</v>
      </c>
      <c r="C15" s="109"/>
      <c r="D15" s="16"/>
      <c r="E15" s="16"/>
      <c r="F15" s="16"/>
      <c r="G15" s="16"/>
      <c r="H15" s="16"/>
      <c r="I15" s="16"/>
      <c r="J15" s="16"/>
      <c r="K15" s="16"/>
      <c r="L15" s="16"/>
    </row>
    <row r="16" spans="2:12" ht="15.75">
      <c r="B16" s="112" t="s">
        <v>70</v>
      </c>
      <c r="C16" s="109"/>
      <c r="D16" s="16"/>
      <c r="E16" s="16"/>
      <c r="F16" s="16"/>
      <c r="G16" s="16"/>
      <c r="H16" s="16"/>
      <c r="I16" s="16"/>
      <c r="J16" s="16"/>
      <c r="K16" s="16"/>
      <c r="L16" s="16"/>
    </row>
    <row r="17" spans="2:12" ht="16.5">
      <c r="B17" s="112" t="s">
        <v>51</v>
      </c>
      <c r="C17" s="113"/>
      <c r="D17" s="16"/>
      <c r="E17" s="16"/>
      <c r="F17" s="16"/>
      <c r="G17" s="16"/>
      <c r="H17" s="16"/>
      <c r="I17" s="16"/>
      <c r="J17" s="16"/>
      <c r="K17" s="16"/>
      <c r="L17" s="16"/>
    </row>
    <row r="18" spans="2:12" ht="16.5">
      <c r="B18" s="112" t="s">
        <v>52</v>
      </c>
      <c r="C18" s="113"/>
      <c r="D18" s="16"/>
      <c r="E18" s="16"/>
      <c r="F18" s="16"/>
      <c r="G18" s="16"/>
      <c r="H18" s="16"/>
      <c r="I18" s="16"/>
      <c r="J18" s="16"/>
      <c r="K18" s="16"/>
      <c r="L18" s="16"/>
    </row>
    <row r="19" spans="2:12" ht="16.5">
      <c r="B19" s="112" t="s">
        <v>53</v>
      </c>
      <c r="C19" s="113"/>
      <c r="D19" s="16"/>
      <c r="E19" s="16"/>
      <c r="F19" s="16"/>
      <c r="G19" s="16"/>
      <c r="H19" s="16"/>
      <c r="I19" s="16"/>
      <c r="J19" s="16"/>
      <c r="K19" s="16"/>
      <c r="L19" s="16"/>
    </row>
    <row r="20" spans="2:12" ht="16.5">
      <c r="B20" s="112" t="s">
        <v>71</v>
      </c>
      <c r="C20" s="113"/>
      <c r="D20" s="16"/>
      <c r="E20" s="16"/>
      <c r="F20" s="16"/>
      <c r="G20" s="16"/>
      <c r="H20" s="16"/>
      <c r="I20" s="16"/>
      <c r="J20" s="16"/>
      <c r="K20" s="16"/>
      <c r="L20" s="16"/>
    </row>
    <row r="21" spans="2:12" ht="16.5">
      <c r="B21" s="113"/>
      <c r="C21" s="113"/>
      <c r="D21" s="16"/>
      <c r="E21" s="16"/>
      <c r="F21" s="16"/>
      <c r="G21" s="16"/>
      <c r="H21" s="16"/>
      <c r="I21" s="16"/>
      <c r="J21" s="16"/>
      <c r="K21" s="16"/>
      <c r="L21" s="16"/>
    </row>
    <row r="22" spans="2:12" ht="16.5">
      <c r="B22" s="113"/>
      <c r="C22" s="113"/>
      <c r="D22" s="16"/>
      <c r="E22" s="16"/>
      <c r="F22" s="16"/>
      <c r="G22" s="16"/>
      <c r="H22" s="16"/>
      <c r="I22" s="16"/>
      <c r="J22" s="16"/>
      <c r="K22" s="16"/>
      <c r="L22" s="16"/>
    </row>
    <row r="23" spans="2:12" ht="15.75">
      <c r="B23" s="108" t="s">
        <v>72</v>
      </c>
      <c r="C23" s="109"/>
      <c r="D23" s="16"/>
      <c r="E23" s="16"/>
      <c r="F23" s="16"/>
      <c r="G23" s="16"/>
      <c r="H23" s="16"/>
      <c r="I23" s="16"/>
      <c r="J23" s="16"/>
      <c r="K23" s="16"/>
      <c r="L23" s="16"/>
    </row>
    <row r="24" spans="2:12" ht="15.75">
      <c r="B24" s="108"/>
      <c r="C24" s="109"/>
      <c r="D24" s="16"/>
      <c r="E24" s="16"/>
      <c r="F24" s="16"/>
      <c r="G24" s="16"/>
      <c r="H24" s="16"/>
      <c r="I24" s="16"/>
      <c r="J24" s="16"/>
      <c r="K24" s="16"/>
      <c r="L24" s="16"/>
    </row>
    <row r="25" spans="2:12" ht="15.75">
      <c r="B25" s="112" t="s">
        <v>65</v>
      </c>
      <c r="C25" s="109"/>
      <c r="D25" s="16"/>
      <c r="E25" s="16"/>
      <c r="F25" s="16"/>
      <c r="G25" s="16"/>
      <c r="H25" s="16"/>
      <c r="I25" s="16"/>
      <c r="J25" s="16"/>
      <c r="K25" s="16"/>
      <c r="L25" s="16"/>
    </row>
    <row r="26" spans="2:12" ht="15.75">
      <c r="B26" s="112" t="s">
        <v>56</v>
      </c>
      <c r="C26" s="109"/>
      <c r="D26" s="16"/>
      <c r="E26" s="16"/>
      <c r="F26" s="16"/>
      <c r="G26" s="16"/>
      <c r="H26" s="16"/>
      <c r="I26" s="16"/>
      <c r="J26" s="16"/>
      <c r="K26" s="16"/>
      <c r="L26" s="16"/>
    </row>
    <row r="27" spans="2:12" ht="15.75">
      <c r="B27" s="112" t="s">
        <v>66</v>
      </c>
      <c r="C27" s="109"/>
      <c r="D27" s="16"/>
      <c r="E27" s="16"/>
      <c r="F27" s="16"/>
      <c r="G27" s="16"/>
      <c r="H27" s="16"/>
      <c r="I27" s="16"/>
      <c r="J27" s="16"/>
      <c r="K27" s="16"/>
      <c r="L27" s="16"/>
    </row>
    <row r="28" spans="2:12" ht="15.75">
      <c r="B28" s="112"/>
      <c r="C28" s="109"/>
      <c r="D28" s="114"/>
      <c r="E28" s="114"/>
      <c r="F28" s="114"/>
      <c r="G28" s="114"/>
      <c r="H28" s="16"/>
      <c r="I28" s="16"/>
      <c r="J28" s="16"/>
      <c r="K28" s="16"/>
      <c r="L28" s="16"/>
    </row>
    <row r="29" spans="2:12" ht="15.75">
      <c r="B29" s="108" t="s">
        <v>73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2:12" ht="15.75">
      <c r="B30" s="108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2:12" ht="15.75">
      <c r="B31" s="112" t="s">
        <v>65</v>
      </c>
      <c r="C31" s="16"/>
      <c r="D31" s="16"/>
      <c r="E31" s="16">
        <f>D33</f>
        <v>235</v>
      </c>
      <c r="F31" s="16">
        <f>E33</f>
        <v>235</v>
      </c>
      <c r="G31" s="16">
        <f>F33</f>
        <v>235</v>
      </c>
      <c r="H31" s="16"/>
      <c r="I31" s="16"/>
      <c r="J31" s="16"/>
      <c r="K31" s="16"/>
      <c r="L31" s="16"/>
    </row>
    <row r="32" spans="2:12" ht="15.75">
      <c r="B32" s="112" t="s">
        <v>56</v>
      </c>
      <c r="C32" s="16"/>
      <c r="D32" s="16"/>
      <c r="E32" s="16">
        <f>Core_Model!E60-Core_Model!D60</f>
        <v>0</v>
      </c>
      <c r="F32" s="16">
        <f>Core_Model!F60-Core_Model!E60</f>
        <v>0</v>
      </c>
      <c r="G32" s="16">
        <f>Core_Model!G60-Core_Model!F60</f>
        <v>0</v>
      </c>
      <c r="H32" s="16"/>
      <c r="I32" s="16"/>
      <c r="J32" s="16"/>
      <c r="K32" s="16"/>
      <c r="L32" s="16"/>
    </row>
    <row r="33" spans="2:12" ht="15.75">
      <c r="B33" s="112" t="s">
        <v>66</v>
      </c>
      <c r="C33" s="16"/>
      <c r="D33" s="16">
        <v>235</v>
      </c>
      <c r="E33" s="16">
        <f>SUM(E31:E32)</f>
        <v>235</v>
      </c>
      <c r="F33" s="16">
        <f>SUM(F31:F32)</f>
        <v>235</v>
      </c>
      <c r="G33" s="16">
        <f>SUM(G31:G32)</f>
        <v>235</v>
      </c>
      <c r="H33" s="16"/>
      <c r="I33" s="16"/>
      <c r="J33" s="16"/>
      <c r="K33" s="16"/>
      <c r="L3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Cover</vt:lpstr>
      <vt:lpstr>Dashboard</vt:lpstr>
      <vt:lpstr>Assumptions</vt:lpstr>
      <vt:lpstr>Core_Model</vt:lpstr>
      <vt:lpstr>Schedules</vt:lpstr>
      <vt:lpstr>Valuation_DCF</vt:lpstr>
      <vt:lpstr>Sensitivity_Analysis</vt:lpstr>
      <vt:lpstr>Appendix</vt:lpstr>
      <vt:lpstr>Rough</vt:lpstr>
      <vt:lpstr>Appendix!Print_Area</vt:lpstr>
      <vt:lpstr>Assumptions!Print_Area</vt:lpstr>
      <vt:lpstr>Core_Model!Print_Area</vt:lpstr>
      <vt:lpstr>Cover!Print_Area</vt:lpstr>
      <vt:lpstr>Dashboard!Print_Area</vt:lpstr>
      <vt:lpstr>Schedules!Print_Area</vt:lpstr>
      <vt:lpstr>Sensitivity_Analysis!Print_Area</vt:lpstr>
      <vt:lpstr>Valuation_DCF!Print_Area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Talib Raeen</dc:creator>
  <cp:lastModifiedBy>Talib Raeen</cp:lastModifiedBy>
  <cp:lastPrinted>2026-06-28T11:02:16Z</cp:lastPrinted>
  <dcterms:created xsi:type="dcterms:W3CDTF">2026-05-21T01:27:19Z</dcterms:created>
  <dcterms:modified xsi:type="dcterms:W3CDTF">2026-06-28T11:05:21Z</dcterms:modified>
</cp:coreProperties>
</file>