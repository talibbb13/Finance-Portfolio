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811e80fe84d3960/Desktop/Finance/Nestle Comp Valuation/"/>
    </mc:Choice>
  </mc:AlternateContent>
  <xr:revisionPtr revIDLastSave="1366" documentId="11_F25DC773A252ABDACC1048A1491F4F865ADE58E8" xr6:coauthVersionLast="47" xr6:coauthVersionMax="47" xr10:uidLastSave="{9D14152B-6BBA-49FB-85F2-4A564D8EDD52}"/>
  <bookViews>
    <workbookView xWindow="-120" yWindow="-120" windowWidth="29040" windowHeight="15720" xr2:uid="{00000000-000D-0000-FFFF-FFFF00000000}"/>
  </bookViews>
  <sheets>
    <sheet name="Cover" sheetId="1" r:id="rId1"/>
    <sheet name="Inputs" sheetId="4" r:id="rId2"/>
    <sheet name="Trading Comps" sheetId="2" r:id="rId3"/>
    <sheet name="Precedent Transactions" sheetId="3" r:id="rId4"/>
    <sheet name="Appendix" sheetId="5" r:id="rId5"/>
    <sheet name="Rough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3" l="1"/>
  <c r="F18" i="3" s="1"/>
  <c r="F19" i="3" s="1"/>
  <c r="F20" i="3" s="1"/>
  <c r="F9" i="3"/>
  <c r="G9" i="3" s="1"/>
  <c r="F7" i="3"/>
  <c r="G7" i="3" s="1"/>
  <c r="G12" i="3"/>
  <c r="G11" i="3"/>
  <c r="G10" i="3"/>
  <c r="G8" i="3"/>
  <c r="G20" i="3" l="1"/>
  <c r="E20" i="3" s="1"/>
  <c r="G17" i="3"/>
  <c r="E17" i="3" s="1"/>
  <c r="G18" i="3"/>
  <c r="E18" i="3" s="1"/>
  <c r="G19" i="3"/>
  <c r="E19" i="3" s="1"/>
  <c r="G16" i="2"/>
  <c r="G13" i="4"/>
  <c r="E15" i="2" s="1"/>
  <c r="E16" i="2" l="1"/>
  <c r="G17" i="2"/>
  <c r="G18" i="2" l="1"/>
  <c r="E17" i="2"/>
  <c r="H23" i="4"/>
  <c r="I23" i="4"/>
  <c r="J23" i="4"/>
  <c r="H24" i="4"/>
  <c r="I24" i="4"/>
  <c r="J24" i="4"/>
  <c r="H25" i="4"/>
  <c r="I25" i="4"/>
  <c r="J25" i="4"/>
  <c r="I22" i="4"/>
  <c r="J22" i="4"/>
  <c r="H22" i="4"/>
  <c r="J17" i="4"/>
  <c r="J16" i="4"/>
  <c r="J15" i="4"/>
  <c r="J14" i="4"/>
  <c r="D15" i="4"/>
  <c r="G15" i="4" s="1"/>
  <c r="D5" i="4"/>
  <c r="D8" i="4"/>
  <c r="H8" i="4"/>
  <c r="F8" i="4"/>
  <c r="E8" i="4"/>
  <c r="H7" i="4"/>
  <c r="F7" i="4"/>
  <c r="E7" i="4"/>
  <c r="D7" i="4"/>
  <c r="H6" i="4"/>
  <c r="F6" i="4"/>
  <c r="E6" i="4"/>
  <c r="D6" i="4"/>
  <c r="H5" i="4"/>
  <c r="F5" i="4"/>
  <c r="G14" i="4"/>
  <c r="E7" i="2" s="1"/>
  <c r="G16" i="4"/>
  <c r="E9" i="2" s="1"/>
  <c r="G17" i="4"/>
  <c r="E10" i="2" s="1"/>
  <c r="K25" i="4" l="1"/>
  <c r="H10" i="2" s="1"/>
  <c r="E18" i="2"/>
  <c r="K24" i="4"/>
  <c r="H9" i="2" s="1"/>
  <c r="K22" i="4"/>
  <c r="H7" i="2" s="1"/>
  <c r="I16" i="4"/>
  <c r="K16" i="4" s="1"/>
  <c r="F9" i="2" s="1"/>
  <c r="K23" i="4"/>
  <c r="H8" i="2" s="1"/>
  <c r="E8" i="2"/>
  <c r="I15" i="4"/>
  <c r="K15" i="4" s="1"/>
  <c r="F8" i="2" s="1"/>
  <c r="I14" i="4"/>
  <c r="K14" i="4" s="1"/>
  <c r="F7" i="2" s="1"/>
  <c r="I17" i="4"/>
  <c r="K17" i="4" s="1"/>
  <c r="F10" i="2" s="1"/>
  <c r="D10" i="2"/>
  <c r="D9" i="2"/>
  <c r="D8" i="2"/>
  <c r="D7" i="2"/>
  <c r="K7" i="4"/>
  <c r="C9" i="2" s="1"/>
  <c r="K9" i="2" l="1"/>
  <c r="L9" i="2"/>
  <c r="I9" i="2"/>
  <c r="J9" i="2"/>
  <c r="L8" i="2"/>
  <c r="K8" i="2"/>
  <c r="L10" i="2"/>
  <c r="K10" i="2"/>
  <c r="K7" i="2"/>
  <c r="L7" i="2"/>
  <c r="K5" i="4"/>
  <c r="C7" i="2" s="1"/>
  <c r="K6" i="4"/>
  <c r="C8" i="2" s="1"/>
  <c r="K8" i="4"/>
  <c r="C10" i="2" s="1"/>
  <c r="K18" i="2" l="1"/>
  <c r="D18" i="2" s="1"/>
  <c r="K17" i="2"/>
  <c r="D17" i="2" s="1"/>
  <c r="K16" i="2"/>
  <c r="D16" i="2" s="1"/>
  <c r="K15" i="2"/>
  <c r="D15" i="2" s="1"/>
  <c r="L18" i="2"/>
  <c r="L16" i="2"/>
  <c r="L15" i="2"/>
  <c r="L17" i="2"/>
  <c r="I8" i="2"/>
  <c r="J8" i="2"/>
  <c r="J10" i="2"/>
  <c r="I10" i="2"/>
  <c r="I7" i="2"/>
  <c r="J7" i="2"/>
  <c r="J18" i="2" l="1"/>
  <c r="J17" i="2"/>
  <c r="J16" i="2"/>
  <c r="J15" i="2"/>
  <c r="I18" i="2"/>
  <c r="C18" i="2" s="1"/>
  <c r="I17" i="2"/>
  <c r="C17" i="2" s="1"/>
  <c r="I15" i="2"/>
  <c r="C15" i="2" s="1"/>
  <c r="I16" i="2"/>
  <c r="C16" i="2" s="1"/>
</calcChain>
</file>

<file path=xl/sharedStrings.xml><?xml version="1.0" encoding="utf-8"?>
<sst xmlns="http://schemas.openxmlformats.org/spreadsheetml/2006/main" count="140" uniqueCount="102">
  <si>
    <t>Comparable Trading Analysis</t>
  </si>
  <si>
    <t>Enterprise</t>
  </si>
  <si>
    <t>Market</t>
  </si>
  <si>
    <t>EBITDA</t>
  </si>
  <si>
    <t>Peer Companies</t>
  </si>
  <si>
    <t>Cap</t>
  </si>
  <si>
    <t>Average</t>
  </si>
  <si>
    <t>Median</t>
  </si>
  <si>
    <t>Maximum</t>
  </si>
  <si>
    <t>Minimum</t>
  </si>
  <si>
    <t>Precedent Transaction Analysis</t>
  </si>
  <si>
    <t>Date</t>
  </si>
  <si>
    <t>Acquirer</t>
  </si>
  <si>
    <t>Target</t>
  </si>
  <si>
    <t>Value</t>
  </si>
  <si>
    <t>Hindustan Unilever Ltd</t>
  </si>
  <si>
    <t>ITC Ltd</t>
  </si>
  <si>
    <t>Dabur India Ltd</t>
  </si>
  <si>
    <t>Tata Consumer Products Ltd</t>
  </si>
  <si>
    <t xml:space="preserve">Value </t>
  </si>
  <si>
    <t>Market Cap</t>
  </si>
  <si>
    <t>Lease Liabilities</t>
  </si>
  <si>
    <t>NCI</t>
  </si>
  <si>
    <t>CCE</t>
  </si>
  <si>
    <t>Enterprise Value</t>
  </si>
  <si>
    <t>Borrowing</t>
  </si>
  <si>
    <t>Current Investment ¹</t>
  </si>
  <si>
    <t>Non Current Investment ¹</t>
  </si>
  <si>
    <t>Calculation of Enterprise Value</t>
  </si>
  <si>
    <t>Calculation of EBITDA</t>
  </si>
  <si>
    <t>Depreciation &amp; Ammortization</t>
  </si>
  <si>
    <t>Finance Cost</t>
  </si>
  <si>
    <t>Profit before share of loss, exceptional items and tax</t>
  </si>
  <si>
    <t>Line item</t>
  </si>
  <si>
    <t>2027F rule</t>
  </si>
  <si>
    <t>Revenue</t>
  </si>
  <si>
    <t>FY26A Revenue × 1.05</t>
  </si>
  <si>
    <t>Revenue × FY26A EBITDA margin, or Revenue × 1 slightly adjusted margin</t>
  </si>
  <si>
    <t>EBIT</t>
  </si>
  <si>
    <t>EBITDA - D&amp;A, with D&amp;A as % of revenue or flat vs FY26A</t>
  </si>
  <si>
    <t>Net income</t>
  </si>
  <si>
    <t>FY26A PAT × 1.03 to 1.05, unless you model tax / other income separately</t>
  </si>
  <si>
    <t>EBITDA Margin</t>
  </si>
  <si>
    <t xml:space="preserve">EBITDA </t>
  </si>
  <si>
    <t xml:space="preserve">Net Income </t>
  </si>
  <si>
    <t xml:space="preserve">EV / EBITDA </t>
  </si>
  <si>
    <t xml:space="preserve">P / E </t>
  </si>
  <si>
    <t>Revenue Growth:</t>
  </si>
  <si>
    <t>Calculation of Net Income</t>
  </si>
  <si>
    <t>Average Growth</t>
  </si>
  <si>
    <t>Net Profit</t>
  </si>
  <si>
    <t>Growth</t>
  </si>
  <si>
    <t>Nestle India Ltd</t>
  </si>
  <si>
    <t>Peers</t>
  </si>
  <si>
    <t>Revenue 2026A</t>
  </si>
  <si>
    <t>Revenue 2027F ²</t>
  </si>
  <si>
    <t>EBITDA 2027F</t>
  </si>
  <si>
    <t>-</t>
  </si>
  <si>
    <t>AWL Agri Business Ltd</t>
  </si>
  <si>
    <t>Sresta Natural Bioproducts Pvt. Ltd</t>
  </si>
  <si>
    <t>Badshah Masala Pvt. Ltd</t>
  </si>
  <si>
    <t>Capital Foods Pvt. Ltd</t>
  </si>
  <si>
    <t>Organic India Pvt. Ltd</t>
  </si>
  <si>
    <t>G.D. Foods Manufacturing Pvt. Ltd</t>
  </si>
  <si>
    <t>EV / Revenue</t>
  </si>
  <si>
    <t>Prasuma ³</t>
  </si>
  <si>
    <t>Table of Contents</t>
  </si>
  <si>
    <t>Model Information</t>
  </si>
  <si>
    <t>Select a worksheet below to navigate.</t>
  </si>
  <si>
    <t>Prepared by</t>
  </si>
  <si>
    <t>:</t>
  </si>
  <si>
    <t>Mohd Talib Raeen</t>
  </si>
  <si>
    <t>Company</t>
  </si>
  <si>
    <t>Currency</t>
  </si>
  <si>
    <t>All amounts in ₹ crores,</t>
  </si>
  <si>
    <t>unless otherwise stated</t>
  </si>
  <si>
    <t>Navigation Tip:</t>
  </si>
  <si>
    <t>Use Ctrl + ↑ / Ctrl + ↓ in Column A to jump</t>
  </si>
  <si>
    <t>between section markers within worksheets.</t>
  </si>
  <si>
    <t>Confidentiality Note:</t>
  </si>
  <si>
    <t>Nestlé India Comparable Valuation</t>
  </si>
  <si>
    <t>Relative Value Estimate using Comparable Company &amp; Precedent Transaction Analysis</t>
  </si>
  <si>
    <t>Ref. No</t>
  </si>
  <si>
    <t>Note</t>
  </si>
  <si>
    <t>this is a simplifying assumption applied consistently across all companies.</t>
  </si>
  <si>
    <t xml:space="preserve">No further note-level split is made between operating and non-operating investments; </t>
  </si>
  <si>
    <t>EV bridge uses consolidated balance sheet book values. Cash and cash equivalents,</t>
  </si>
  <si>
    <t xml:space="preserve">bank balances, and financial investments are deducted as non-operating liquid assets. </t>
  </si>
  <si>
    <t>Revenue and EBITDA based on latest available financial information. Partial-year results</t>
  </si>
  <si>
    <t>annualized where appropriate.</t>
  </si>
  <si>
    <t>Trading Comps</t>
  </si>
  <si>
    <t>Inputs</t>
  </si>
  <si>
    <t>Precedent Transactions</t>
  </si>
  <si>
    <t>Appendix</t>
  </si>
  <si>
    <t>This comparable valuation model has been prepared for educational and interview purposes only.</t>
  </si>
  <si>
    <t>It is intended solely for the designated recipient and should not be distributed, reproduced, modified,</t>
  </si>
  <si>
    <t>or used for commercial or investment purposes without prior permission.</t>
  </si>
  <si>
    <t>Nestlé India Limited</t>
  </si>
  <si>
    <t>Valuation</t>
  </si>
  <si>
    <t>Comparable Company Analysis &amp;</t>
  </si>
  <si>
    <t xml:space="preserve">Nestlé India Valuation </t>
  </si>
  <si>
    <t>Nestlé India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</si>
</sst>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&quot;A&quot;"/>
    <numFmt numFmtId="165" formatCode="_(#,##0_)_%;\(#,##0\)_%;_(&quot;–&quot;_)_%;_(@_)_%"/>
    <numFmt numFmtId="167" formatCode="_(#,##0_);\(#,##0\);_(&quot;–&quot;_);_(@_)"/>
    <numFmt numFmtId="168" formatCode="@\⁽\³\⁾"/>
    <numFmt numFmtId="169" formatCode="#,##0_);\(#,##0\);\-"/>
    <numFmt numFmtId="170" formatCode="_(0.0\x_);\(0.0\x\);_(&quot;–&quot;_);_(@_)"/>
    <numFmt numFmtId="171" formatCode="0.0\x"/>
    <numFmt numFmtId="172" formatCode="&quot;₹&quot;\ #,##0"/>
    <numFmt numFmtId="173" formatCode="0&quot;F&quot;"/>
    <numFmt numFmtId="174" formatCode="0.0000"/>
    <numFmt numFmtId="175" formatCode="0.0%"/>
    <numFmt numFmtId="176" formatCode="dd\/mm\/yyyy"/>
    <numFmt numFmtId="177" formatCode="#,##0.0;\-#,##0.0"/>
    <numFmt numFmtId="178" formatCode="mmmm\,\ yyyy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i/>
      <sz val="9"/>
      <name val="Open Sans"/>
      <family val="2"/>
    </font>
    <font>
      <sz val="10"/>
      <color rgb="FF3271D2"/>
      <name val="Open Sans"/>
      <family val="2"/>
    </font>
    <font>
      <sz val="8"/>
      <color theme="1"/>
      <name val="Open Sans"/>
      <family val="2"/>
    </font>
    <font>
      <sz val="10"/>
      <name val="Arial"/>
      <family val="2"/>
    </font>
    <font>
      <sz val="10"/>
      <color rgb="FF000000"/>
      <name val="Open Sans"/>
      <family val="2"/>
    </font>
    <font>
      <b/>
      <sz val="10"/>
      <color rgb="FF000000"/>
      <name val="Open Sans"/>
      <family val="2"/>
    </font>
    <font>
      <sz val="10"/>
      <name val="Open Sans"/>
      <family val="2"/>
    </font>
    <font>
      <i/>
      <sz val="10"/>
      <name val="Open Sans"/>
      <family val="2"/>
    </font>
    <font>
      <i/>
      <sz val="10"/>
      <color rgb="FF000000"/>
      <name val="Open Sans"/>
      <family val="2"/>
    </font>
    <font>
      <sz val="11"/>
      <color theme="1"/>
      <name val="Open Sans"/>
      <family val="2"/>
    </font>
    <font>
      <sz val="11"/>
      <color rgb="FF000000"/>
      <name val="Open Sans"/>
      <family val="2"/>
    </font>
    <font>
      <sz val="11"/>
      <name val="Open Sans"/>
      <family val="2"/>
    </font>
    <font>
      <sz val="11"/>
      <color rgb="FFFA621C"/>
      <name val="Open Sans"/>
      <family val="2"/>
    </font>
    <font>
      <sz val="10"/>
      <color rgb="FFFA621C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Open Sans"/>
      <family val="2"/>
    </font>
    <font>
      <b/>
      <sz val="12"/>
      <color theme="0"/>
      <name val="Open Sans"/>
      <family val="2"/>
    </font>
    <font>
      <b/>
      <sz val="14"/>
      <color theme="0"/>
      <name val="Open Sans"/>
      <family val="2"/>
    </font>
    <font>
      <sz val="10"/>
      <color theme="0"/>
      <name val="Open Sans"/>
      <family val="2"/>
    </font>
    <font>
      <u/>
      <sz val="11"/>
      <color theme="10"/>
      <name val="Calibri"/>
      <family val="2"/>
      <scheme val="minor"/>
    </font>
    <font>
      <b/>
      <sz val="28"/>
      <color theme="0"/>
      <name val="Arial Unicode MS"/>
    </font>
    <font>
      <sz val="11"/>
      <color theme="0"/>
      <name val="Calibri"/>
      <family val="2"/>
      <scheme val="minor"/>
    </font>
    <font>
      <b/>
      <sz val="10"/>
      <color theme="0"/>
      <name val="Arial Unicode MS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8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/>
      <diagonal/>
    </border>
    <border>
      <left/>
      <right/>
      <top/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 style="hair">
        <color theme="5"/>
      </left>
      <right/>
      <top style="hair">
        <color theme="5"/>
      </top>
      <bottom/>
      <diagonal/>
    </border>
    <border>
      <left/>
      <right/>
      <top style="hair">
        <color theme="5"/>
      </top>
      <bottom/>
      <diagonal/>
    </border>
    <border>
      <left/>
      <right style="hair">
        <color theme="5"/>
      </right>
      <top style="hair">
        <color theme="5"/>
      </top>
      <bottom/>
      <diagonal/>
    </border>
    <border>
      <left style="hair">
        <color theme="5"/>
      </left>
      <right/>
      <top/>
      <bottom/>
      <diagonal/>
    </border>
    <border>
      <left/>
      <right style="hair">
        <color theme="5"/>
      </right>
      <top/>
      <bottom/>
      <diagonal/>
    </border>
    <border>
      <left style="hair">
        <color theme="5"/>
      </left>
      <right/>
      <top/>
      <bottom style="hair">
        <color theme="5"/>
      </bottom>
      <diagonal/>
    </border>
    <border>
      <left/>
      <right/>
      <top/>
      <bottom style="hair">
        <color theme="5"/>
      </bottom>
      <diagonal/>
    </border>
    <border>
      <left/>
      <right style="hair">
        <color theme="5"/>
      </right>
      <top/>
      <bottom style="hair">
        <color theme="5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hair">
        <color rgb="FF000000"/>
      </bottom>
      <diagonal/>
    </border>
    <border>
      <left/>
      <right style="thin">
        <color theme="4"/>
      </right>
      <top/>
      <bottom style="hair">
        <color rgb="FF000000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hair">
        <color theme="8"/>
      </left>
      <right/>
      <top style="thin">
        <color theme="4"/>
      </top>
      <bottom/>
      <diagonal/>
    </border>
    <border>
      <left style="hair">
        <color theme="8"/>
      </left>
      <right/>
      <top/>
      <bottom style="hair">
        <color rgb="FF000000"/>
      </bottom>
      <diagonal/>
    </border>
    <border>
      <left style="hair">
        <color theme="8"/>
      </left>
      <right/>
      <top/>
      <bottom/>
      <diagonal/>
    </border>
    <border>
      <left style="hair">
        <color theme="8"/>
      </left>
      <right/>
      <top/>
      <bottom style="thin">
        <color theme="4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/>
      <diagonal/>
    </border>
    <border>
      <left style="hair">
        <color theme="8"/>
      </left>
      <right/>
      <top/>
      <bottom style="thin">
        <color theme="8"/>
      </bottom>
      <diagonal/>
    </border>
    <border>
      <left style="hair">
        <color theme="8"/>
      </left>
      <right/>
      <top style="hair">
        <color rgb="FF000000"/>
      </top>
      <bottom/>
      <diagonal/>
    </border>
    <border>
      <left style="hair">
        <color theme="8"/>
      </left>
      <right style="thin">
        <color theme="8"/>
      </right>
      <top/>
      <bottom style="thin">
        <color theme="8"/>
      </bottom>
      <diagonal/>
    </border>
    <border>
      <left style="hair">
        <color theme="8"/>
      </left>
      <right style="thin">
        <color theme="8"/>
      </right>
      <top/>
      <bottom/>
      <diagonal/>
    </border>
    <border>
      <left style="hair">
        <color theme="8"/>
      </left>
      <right style="thin">
        <color theme="8"/>
      </right>
      <top/>
      <bottom style="hair">
        <color rgb="FF000000"/>
      </bottom>
      <diagonal/>
    </border>
    <border>
      <left style="hair">
        <color theme="8"/>
      </left>
      <right style="thin">
        <color theme="8"/>
      </right>
      <top style="hair">
        <color rgb="FF000000"/>
      </top>
      <bottom/>
      <diagonal/>
    </border>
  </borders>
  <cellStyleXfs count="5">
    <xf numFmtId="0" fontId="0" fillId="0" borderId="0"/>
    <xf numFmtId="0" fontId="1" fillId="0" borderId="0"/>
    <xf numFmtId="0" fontId="7" fillId="0" borderId="0"/>
    <xf numFmtId="9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174">
    <xf numFmtId="0" fontId="0" fillId="0" borderId="0" xfId="0"/>
    <xf numFmtId="165" fontId="4" fillId="0" borderId="0" xfId="0" applyNumberFormat="1" applyFont="1" applyAlignment="1">
      <alignment vertical="center"/>
    </xf>
    <xf numFmtId="0" fontId="11" fillId="0" borderId="0" xfId="1" applyFont="1" applyAlignment="1">
      <alignment horizontal="center" vertical="center"/>
    </xf>
    <xf numFmtId="37" fontId="8" fillId="0" borderId="0" xfId="1" applyNumberFormat="1" applyFont="1" applyAlignment="1">
      <alignment vertical="center"/>
    </xf>
    <xf numFmtId="169" fontId="5" fillId="0" borderId="0" xfId="0" applyNumberFormat="1" applyFont="1" applyAlignment="1">
      <alignment horizontal="right"/>
    </xf>
    <xf numFmtId="170" fontId="10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left" vertical="center" indent="1"/>
    </xf>
    <xf numFmtId="0" fontId="13" fillId="0" borderId="0" xfId="1" applyFont="1"/>
    <xf numFmtId="0" fontId="14" fillId="0" borderId="0" xfId="1" applyFont="1"/>
    <xf numFmtId="0" fontId="12" fillId="0" borderId="0" xfId="1" applyFont="1" applyAlignment="1">
      <alignment horizontal="center" vertical="center"/>
    </xf>
    <xf numFmtId="37" fontId="9" fillId="0" borderId="0" xfId="1" applyNumberFormat="1" applyFont="1" applyAlignment="1">
      <alignment vertical="center"/>
    </xf>
    <xf numFmtId="0" fontId="15" fillId="0" borderId="0" xfId="1" applyFont="1"/>
    <xf numFmtId="0" fontId="16" fillId="0" borderId="0" xfId="1" applyFont="1"/>
    <xf numFmtId="170" fontId="17" fillId="0" borderId="0" xfId="1" applyNumberFormat="1" applyFont="1" applyAlignment="1">
      <alignment horizontal="right" vertical="center"/>
    </xf>
    <xf numFmtId="37" fontId="8" fillId="0" borderId="0" xfId="1" applyNumberFormat="1" applyFont="1" applyAlignment="1">
      <alignment horizontal="left" vertical="center" indent="1"/>
    </xf>
    <xf numFmtId="0" fontId="0" fillId="0" borderId="0" xfId="0" applyAlignment="1">
      <alignment horizontal="left" indent="1"/>
    </xf>
    <xf numFmtId="172" fontId="0" fillId="0" borderId="0" xfId="0" applyNumberFormat="1"/>
    <xf numFmtId="172" fontId="2" fillId="0" borderId="0" xfId="0" applyNumberFormat="1" applyFont="1"/>
    <xf numFmtId="0" fontId="18" fillId="2" borderId="2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8" fillId="2" borderId="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10" fontId="2" fillId="0" borderId="0" xfId="0" applyNumberFormat="1" applyFont="1"/>
    <xf numFmtId="9" fontId="2" fillId="0" borderId="0" xfId="3" applyFont="1"/>
    <xf numFmtId="174" fontId="0" fillId="0" borderId="0" xfId="0" applyNumberFormat="1"/>
    <xf numFmtId="175" fontId="0" fillId="0" borderId="0" xfId="0" applyNumberFormat="1"/>
    <xf numFmtId="0" fontId="21" fillId="3" borderId="0" xfId="0" applyFont="1" applyFill="1"/>
    <xf numFmtId="0" fontId="22" fillId="3" borderId="0" xfId="0" applyFont="1" applyFill="1"/>
    <xf numFmtId="0" fontId="21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Continuous" vertical="center"/>
    </xf>
    <xf numFmtId="164" fontId="23" fillId="4" borderId="0" xfId="0" applyNumberFormat="1" applyFont="1" applyFill="1" applyAlignment="1">
      <alignment horizontal="centerContinuous" vertical="center"/>
    </xf>
    <xf numFmtId="173" fontId="23" fillId="5" borderId="0" xfId="0" applyNumberFormat="1" applyFont="1" applyFill="1" applyAlignment="1">
      <alignment vertical="center"/>
    </xf>
    <xf numFmtId="173" fontId="23" fillId="6" borderId="0" xfId="0" applyNumberFormat="1" applyFont="1" applyFill="1" applyAlignment="1">
      <alignment horizontal="centerContinuous" vertical="center"/>
    </xf>
    <xf numFmtId="0" fontId="23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 wrapText="1"/>
    </xf>
    <xf numFmtId="37" fontId="26" fillId="3" borderId="0" xfId="1" applyNumberFormat="1" applyFont="1" applyFill="1" applyAlignment="1">
      <alignment horizontal="left" vertical="center"/>
    </xf>
    <xf numFmtId="169" fontId="26" fillId="3" borderId="0" xfId="0" applyNumberFormat="1" applyFont="1" applyFill="1" applyAlignment="1">
      <alignment horizontal="right"/>
    </xf>
    <xf numFmtId="170" fontId="26" fillId="3" borderId="0" xfId="1" applyNumberFormat="1" applyFont="1" applyFill="1" applyAlignment="1">
      <alignment horizontal="right" vertical="center"/>
    </xf>
    <xf numFmtId="167" fontId="24" fillId="4" borderId="1" xfId="2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 indent="1"/>
    </xf>
    <xf numFmtId="177" fontId="8" fillId="0" borderId="0" xfId="1" applyNumberFormat="1" applyFont="1" applyAlignment="1">
      <alignment horizontal="left" vertical="center" indent="1"/>
    </xf>
    <xf numFmtId="177" fontId="0" fillId="0" borderId="0" xfId="0" applyNumberFormat="1" applyAlignment="1">
      <alignment horizontal="left" vertical="center" indent="1"/>
    </xf>
    <xf numFmtId="176" fontId="5" fillId="0" borderId="0" xfId="1" applyNumberFormat="1" applyFont="1" applyAlignment="1">
      <alignment horizontal="left" vertical="center" indent="1"/>
    </xf>
    <xf numFmtId="0" fontId="26" fillId="4" borderId="1" xfId="2" applyFont="1" applyFill="1" applyBorder="1" applyAlignment="1">
      <alignment horizontal="left" vertical="center"/>
    </xf>
    <xf numFmtId="0" fontId="24" fillId="4" borderId="0" xfId="1" applyFont="1" applyFill="1" applyAlignment="1">
      <alignment horizontal="center" vertical="center"/>
    </xf>
    <xf numFmtId="0" fontId="25" fillId="4" borderId="0" xfId="1" applyFont="1" applyFill="1" applyAlignment="1">
      <alignment horizontal="center" vertical="center"/>
    </xf>
    <xf numFmtId="0" fontId="25" fillId="4" borderId="1" xfId="1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9" fillId="3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right"/>
    </xf>
    <xf numFmtId="0" fontId="30" fillId="3" borderId="0" xfId="0" applyFont="1" applyFill="1"/>
    <xf numFmtId="178" fontId="30" fillId="3" borderId="0" xfId="0" applyNumberFormat="1" applyFont="1" applyFill="1"/>
    <xf numFmtId="0" fontId="31" fillId="3" borderId="0" xfId="0" applyFont="1" applyFill="1" applyAlignment="1">
      <alignment vertical="center"/>
    </xf>
    <xf numFmtId="0" fontId="29" fillId="3" borderId="0" xfId="0" applyFont="1" applyFill="1" applyAlignment="1">
      <alignment vertical="center"/>
    </xf>
    <xf numFmtId="0" fontId="2" fillId="3" borderId="0" xfId="0" applyFont="1" applyFill="1"/>
    <xf numFmtId="0" fontId="0" fillId="7" borderId="0" xfId="0" applyFill="1"/>
    <xf numFmtId="0" fontId="32" fillId="7" borderId="0" xfId="0" applyFont="1" applyFill="1" applyAlignment="1">
      <alignment horizontal="left" vertical="center" indent="1"/>
    </xf>
    <xf numFmtId="0" fontId="33" fillId="7" borderId="0" xfId="0" applyFont="1" applyFill="1" applyAlignment="1">
      <alignment horizontal="left" vertical="center"/>
    </xf>
    <xf numFmtId="0" fontId="32" fillId="7" borderId="3" xfId="0" applyFont="1" applyFill="1" applyBorder="1" applyAlignment="1">
      <alignment horizontal="left" vertical="center" indent="1"/>
    </xf>
    <xf numFmtId="0" fontId="33" fillId="7" borderId="3" xfId="0" applyFont="1" applyFill="1" applyBorder="1" applyAlignment="1">
      <alignment horizontal="left" vertical="center"/>
    </xf>
    <xf numFmtId="0" fontId="33" fillId="7" borderId="0" xfId="0" applyFont="1" applyFill="1" applyAlignment="1">
      <alignment vertical="center"/>
    </xf>
    <xf numFmtId="0" fontId="33" fillId="4" borderId="0" xfId="0" applyFont="1" applyFill="1" applyAlignment="1">
      <alignment vertical="center"/>
    </xf>
    <xf numFmtId="0" fontId="34" fillId="0" borderId="0" xfId="0" applyFont="1" applyAlignment="1">
      <alignment horizontal="left" indent="1"/>
    </xf>
    <xf numFmtId="0" fontId="35" fillId="7" borderId="4" xfId="0" applyFont="1" applyFill="1" applyBorder="1" applyAlignment="1">
      <alignment horizontal="left" vertical="center"/>
    </xf>
    <xf numFmtId="0" fontId="35" fillId="7" borderId="5" xfId="0" applyFont="1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36" fillId="7" borderId="0" xfId="4" applyFont="1" applyFill="1" applyAlignment="1">
      <alignment horizontal="left" vertical="center" indent="1"/>
    </xf>
    <xf numFmtId="0" fontId="0" fillId="7" borderId="5" xfId="0" applyFill="1" applyBorder="1" applyAlignment="1">
      <alignment horizontal="left" vertical="center"/>
    </xf>
    <xf numFmtId="178" fontId="0" fillId="7" borderId="6" xfId="0" applyNumberFormat="1" applyFill="1" applyBorder="1" applyAlignment="1">
      <alignment horizontal="left" vertical="center"/>
    </xf>
    <xf numFmtId="178" fontId="0" fillId="7" borderId="5" xfId="0" applyNumberFormat="1" applyFill="1" applyBorder="1" applyAlignment="1">
      <alignment horizontal="left" vertical="center"/>
    </xf>
    <xf numFmtId="178" fontId="0" fillId="7" borderId="6" xfId="0" applyNumberFormat="1" applyFill="1" applyBorder="1" applyAlignment="1">
      <alignment vertical="center"/>
    </xf>
    <xf numFmtId="178" fontId="0" fillId="7" borderId="5" xfId="0" applyNumberFormat="1" applyFill="1" applyBorder="1" applyAlignment="1">
      <alignment vertical="center"/>
    </xf>
    <xf numFmtId="0" fontId="0" fillId="7" borderId="0" xfId="0" applyFill="1" applyAlignment="1">
      <alignment horizontal="left" vertical="center"/>
    </xf>
    <xf numFmtId="0" fontId="37" fillId="7" borderId="7" xfId="0" applyFont="1" applyFill="1" applyBorder="1" applyAlignment="1">
      <alignment horizontal="left" indent="1"/>
    </xf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 applyAlignment="1">
      <alignment horizontal="left" indent="1"/>
    </xf>
    <xf numFmtId="0" fontId="0" fillId="7" borderId="11" xfId="0" applyFill="1" applyBorder="1"/>
    <xf numFmtId="0" fontId="0" fillId="7" borderId="12" xfId="0" applyFill="1" applyBorder="1" applyAlignment="1">
      <alignment horizontal="left" indent="1"/>
    </xf>
    <xf numFmtId="0" fontId="0" fillId="7" borderId="13" xfId="0" applyFill="1" applyBorder="1"/>
    <xf numFmtId="0" fontId="0" fillId="7" borderId="14" xfId="0" applyFill="1" applyBorder="1"/>
    <xf numFmtId="0" fontId="2" fillId="7" borderId="0" xfId="0" applyFont="1" applyFill="1"/>
    <xf numFmtId="0" fontId="23" fillId="4" borderId="0" xfId="0" applyFont="1" applyFill="1" applyAlignment="1">
      <alignment horizontal="left" vertical="center"/>
    </xf>
    <xf numFmtId="178" fontId="0" fillId="7" borderId="6" xfId="0" applyNumberFormat="1" applyFill="1" applyBorder="1" applyAlignment="1">
      <alignment vertical="top"/>
    </xf>
    <xf numFmtId="178" fontId="0" fillId="7" borderId="5" xfId="0" applyNumberFormat="1" applyFill="1" applyBorder="1" applyAlignment="1">
      <alignment vertical="top"/>
    </xf>
    <xf numFmtId="0" fontId="24" fillId="4" borderId="0" xfId="1" applyFont="1" applyFill="1" applyAlignment="1">
      <alignment horizontal="left" vertical="center"/>
    </xf>
    <xf numFmtId="0" fontId="24" fillId="4" borderId="1" xfId="2" applyFont="1" applyFill="1" applyBorder="1" applyAlignment="1">
      <alignment horizontal="left"/>
    </xf>
    <xf numFmtId="172" fontId="38" fillId="0" borderId="0" xfId="0" applyNumberFormat="1" applyFont="1"/>
    <xf numFmtId="172" fontId="38" fillId="0" borderId="0" xfId="0" applyNumberFormat="1" applyFont="1" applyAlignment="1">
      <alignment horizontal="right" vertical="center"/>
    </xf>
    <xf numFmtId="172" fontId="38" fillId="0" borderId="0" xfId="0" applyNumberFormat="1" applyFont="1" applyAlignment="1">
      <alignment horizontal="right" vertical="center" wrapText="1"/>
    </xf>
    <xf numFmtId="172" fontId="39" fillId="0" borderId="0" xfId="0" applyNumberFormat="1" applyFont="1" applyAlignment="1">
      <alignment horizontal="right"/>
    </xf>
    <xf numFmtId="172" fontId="38" fillId="0" borderId="0" xfId="0" applyNumberFormat="1" applyFont="1" applyAlignment="1">
      <alignment horizontal="right"/>
    </xf>
    <xf numFmtId="172" fontId="38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37" fontId="8" fillId="0" borderId="16" xfId="1" applyNumberFormat="1" applyFont="1" applyBorder="1" applyAlignment="1">
      <alignment vertical="center"/>
    </xf>
    <xf numFmtId="0" fontId="24" fillId="4" borderId="0" xfId="1" applyFont="1" applyFill="1" applyBorder="1" applyAlignment="1">
      <alignment horizontal="left" vertical="center"/>
    </xf>
    <xf numFmtId="0" fontId="11" fillId="0" borderId="0" xfId="1" applyFont="1" applyBorder="1" applyAlignment="1">
      <alignment horizontal="center" vertical="center"/>
    </xf>
    <xf numFmtId="0" fontId="27" fillId="4" borderId="17" xfId="2" applyFont="1" applyFill="1" applyBorder="1" applyAlignment="1">
      <alignment horizontal="centerContinuous"/>
    </xf>
    <xf numFmtId="0" fontId="27" fillId="4" borderId="18" xfId="2" applyFont="1" applyFill="1" applyBorder="1" applyAlignment="1">
      <alignment horizontal="centerContinuous"/>
    </xf>
    <xf numFmtId="0" fontId="27" fillId="4" borderId="19" xfId="2" applyFont="1" applyFill="1" applyBorder="1" applyAlignment="1">
      <alignment horizontal="centerContinuous"/>
    </xf>
    <xf numFmtId="164" fontId="24" fillId="5" borderId="20" xfId="0" applyNumberFormat="1" applyFont="1" applyFill="1" applyBorder="1" applyAlignment="1">
      <alignment horizontal="right"/>
    </xf>
    <xf numFmtId="173" fontId="24" fillId="5" borderId="21" xfId="2" applyNumberFormat="1" applyFont="1" applyFill="1" applyBorder="1" applyAlignment="1">
      <alignment horizontal="right"/>
    </xf>
    <xf numFmtId="0" fontId="11" fillId="0" borderId="22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173" fontId="24" fillId="5" borderId="1" xfId="2" applyNumberFormat="1" applyFont="1" applyFill="1" applyBorder="1" applyAlignment="1">
      <alignment horizontal="right"/>
    </xf>
    <xf numFmtId="168" fontId="27" fillId="4" borderId="18" xfId="2" applyNumberFormat="1" applyFont="1" applyFill="1" applyBorder="1" applyAlignment="1">
      <alignment horizontal="centerContinuous"/>
    </xf>
    <xf numFmtId="0" fontId="27" fillId="4" borderId="25" xfId="2" applyFont="1" applyFill="1" applyBorder="1" applyAlignment="1">
      <alignment horizontal="centerContinuous"/>
    </xf>
    <xf numFmtId="164" fontId="24" fillId="5" borderId="26" xfId="0" applyNumberFormat="1" applyFont="1" applyFill="1" applyBorder="1" applyAlignment="1">
      <alignment horizontal="right"/>
    </xf>
    <xf numFmtId="0" fontId="11" fillId="0" borderId="27" xfId="1" applyFont="1" applyBorder="1" applyAlignment="1">
      <alignment horizontal="center" vertical="center"/>
    </xf>
    <xf numFmtId="172" fontId="10" fillId="0" borderId="0" xfId="0" applyNumberFormat="1" applyFont="1" applyAlignment="1">
      <alignment horizontal="right"/>
    </xf>
    <xf numFmtId="172" fontId="10" fillId="0" borderId="0" xfId="0" applyNumberFormat="1" applyFont="1" applyBorder="1" applyAlignment="1">
      <alignment horizontal="right"/>
    </xf>
    <xf numFmtId="172" fontId="10" fillId="0" borderId="22" xfId="0" applyNumberFormat="1" applyFont="1" applyBorder="1" applyAlignment="1">
      <alignment horizontal="right"/>
    </xf>
    <xf numFmtId="172" fontId="5" fillId="0" borderId="27" xfId="0" applyNumberFormat="1" applyFont="1" applyBorder="1" applyAlignment="1">
      <alignment horizontal="right"/>
    </xf>
    <xf numFmtId="172" fontId="10" fillId="0" borderId="16" xfId="0" applyNumberFormat="1" applyFont="1" applyBorder="1" applyAlignment="1">
      <alignment horizontal="right"/>
    </xf>
    <xf numFmtId="172" fontId="10" fillId="0" borderId="24" xfId="0" applyNumberFormat="1" applyFont="1" applyBorder="1" applyAlignment="1">
      <alignment horizontal="right"/>
    </xf>
    <xf numFmtId="172" fontId="5" fillId="0" borderId="28" xfId="0" applyNumberFormat="1" applyFont="1" applyBorder="1" applyAlignment="1">
      <alignment horizontal="right"/>
    </xf>
    <xf numFmtId="170" fontId="10" fillId="8" borderId="27" xfId="1" applyNumberFormat="1" applyFont="1" applyFill="1" applyBorder="1" applyAlignment="1">
      <alignment horizontal="right" vertical="center"/>
    </xf>
    <xf numFmtId="170" fontId="10" fillId="8" borderId="0" xfId="1" applyNumberFormat="1" applyFont="1" applyFill="1" applyBorder="1" applyAlignment="1">
      <alignment horizontal="right" vertical="center"/>
    </xf>
    <xf numFmtId="170" fontId="8" fillId="8" borderId="23" xfId="1" applyNumberFormat="1" applyFont="1" applyFill="1" applyBorder="1" applyAlignment="1">
      <alignment horizontal="right" vertical="center"/>
    </xf>
    <xf numFmtId="170" fontId="10" fillId="8" borderId="28" xfId="1" applyNumberFormat="1" applyFont="1" applyFill="1" applyBorder="1" applyAlignment="1">
      <alignment horizontal="right" vertical="center"/>
    </xf>
    <xf numFmtId="170" fontId="10" fillId="8" borderId="16" xfId="1" applyNumberFormat="1" applyFont="1" applyFill="1" applyBorder="1" applyAlignment="1">
      <alignment horizontal="right" vertical="center"/>
    </xf>
    <xf numFmtId="170" fontId="8" fillId="8" borderId="15" xfId="1" applyNumberFormat="1" applyFont="1" applyFill="1" applyBorder="1" applyAlignment="1">
      <alignment horizontal="right" vertical="center"/>
    </xf>
    <xf numFmtId="172" fontId="10" fillId="8" borderId="0" xfId="1" applyNumberFormat="1" applyFont="1" applyFill="1" applyAlignment="1">
      <alignment horizontal="right" vertical="center"/>
    </xf>
    <xf numFmtId="172" fontId="8" fillId="8" borderId="0" xfId="1" applyNumberFormat="1" applyFont="1" applyFill="1" applyAlignment="1">
      <alignment horizontal="right" vertical="center"/>
    </xf>
    <xf numFmtId="0" fontId="8" fillId="0" borderId="30" xfId="1" applyFont="1" applyBorder="1" applyAlignment="1">
      <alignment horizontal="left" vertical="center" indent="1"/>
    </xf>
    <xf numFmtId="172" fontId="8" fillId="8" borderId="30" xfId="1" applyNumberFormat="1" applyFont="1" applyFill="1" applyBorder="1" applyAlignment="1">
      <alignment horizontal="right" vertical="center"/>
    </xf>
    <xf numFmtId="170" fontId="8" fillId="8" borderId="30" xfId="1" applyNumberFormat="1" applyFont="1" applyFill="1" applyBorder="1" applyAlignment="1">
      <alignment horizontal="right" vertical="center"/>
    </xf>
    <xf numFmtId="170" fontId="8" fillId="8" borderId="29" xfId="1" applyNumberFormat="1" applyFont="1" applyFill="1" applyBorder="1" applyAlignment="1">
      <alignment horizontal="right" vertical="center"/>
    </xf>
    <xf numFmtId="170" fontId="10" fillId="8" borderId="31" xfId="1" applyNumberFormat="1" applyFont="1" applyFill="1" applyBorder="1" applyAlignment="1">
      <alignment horizontal="right" vertical="center"/>
    </xf>
    <xf numFmtId="170" fontId="8" fillId="8" borderId="31" xfId="1" applyNumberFormat="1" applyFont="1" applyFill="1" applyBorder="1" applyAlignment="1">
      <alignment horizontal="right" vertical="center"/>
    </xf>
    <xf numFmtId="170" fontId="8" fillId="8" borderId="0" xfId="1" applyNumberFormat="1" applyFont="1" applyFill="1" applyBorder="1" applyAlignment="1">
      <alignment horizontal="right" vertical="center"/>
    </xf>
    <xf numFmtId="169" fontId="5" fillId="7" borderId="0" xfId="0" applyNumberFormat="1" applyFont="1" applyFill="1" applyBorder="1" applyAlignment="1">
      <alignment horizontal="right"/>
    </xf>
    <xf numFmtId="169" fontId="8" fillId="7" borderId="0" xfId="0" applyNumberFormat="1" applyFont="1" applyFill="1" applyBorder="1" applyAlignment="1">
      <alignment horizontal="right"/>
    </xf>
    <xf numFmtId="169" fontId="8" fillId="7" borderId="30" xfId="0" applyNumberFormat="1" applyFont="1" applyFill="1" applyBorder="1" applyAlignment="1">
      <alignment horizontal="right"/>
    </xf>
    <xf numFmtId="0" fontId="3" fillId="7" borderId="0" xfId="1" applyFont="1" applyFill="1" applyBorder="1"/>
    <xf numFmtId="171" fontId="3" fillId="7" borderId="30" xfId="1" applyNumberFormat="1" applyFont="1" applyFill="1" applyBorder="1" applyAlignment="1">
      <alignment vertical="center"/>
    </xf>
    <xf numFmtId="172" fontId="8" fillId="8" borderId="0" xfId="1" applyNumberFormat="1" applyFont="1" applyFill="1" applyBorder="1" applyAlignment="1">
      <alignment horizontal="right" vertical="center"/>
    </xf>
    <xf numFmtId="170" fontId="8" fillId="8" borderId="27" xfId="1" applyNumberFormat="1" applyFont="1" applyFill="1" applyBorder="1" applyAlignment="1">
      <alignment horizontal="right" vertical="center"/>
    </xf>
    <xf numFmtId="170" fontId="8" fillId="8" borderId="32" xfId="1" applyNumberFormat="1" applyFont="1" applyFill="1" applyBorder="1" applyAlignment="1">
      <alignment horizontal="right" vertical="center"/>
    </xf>
    <xf numFmtId="172" fontId="5" fillId="7" borderId="27" xfId="1" applyNumberFormat="1" applyFont="1" applyFill="1" applyBorder="1" applyAlignment="1">
      <alignment horizontal="right" vertical="center"/>
    </xf>
    <xf numFmtId="172" fontId="8" fillId="8" borderId="27" xfId="0" applyNumberFormat="1" applyFont="1" applyFill="1" applyBorder="1" applyAlignment="1">
      <alignment horizontal="right"/>
    </xf>
    <xf numFmtId="172" fontId="8" fillId="8" borderId="32" xfId="0" applyNumberFormat="1" applyFont="1" applyFill="1" applyBorder="1" applyAlignment="1">
      <alignment horizontal="right"/>
    </xf>
    <xf numFmtId="167" fontId="24" fillId="4" borderId="27" xfId="0" applyNumberFormat="1" applyFont="1" applyFill="1" applyBorder="1" applyAlignment="1">
      <alignment horizontal="centerContinuous" vertical="center"/>
    </xf>
    <xf numFmtId="164" fontId="24" fillId="5" borderId="26" xfId="0" applyNumberFormat="1" applyFont="1" applyFill="1" applyBorder="1" applyAlignment="1">
      <alignment horizontal="right" vertical="center"/>
    </xf>
    <xf numFmtId="0" fontId="12" fillId="0" borderId="33" xfId="1" applyFont="1" applyBorder="1" applyAlignment="1">
      <alignment horizontal="center" vertical="center"/>
    </xf>
    <xf numFmtId="169" fontId="5" fillId="0" borderId="27" xfId="1" applyNumberFormat="1" applyFont="1" applyBorder="1" applyAlignment="1">
      <alignment vertical="center"/>
    </xf>
    <xf numFmtId="176" fontId="5" fillId="0" borderId="30" xfId="1" applyNumberFormat="1" applyFont="1" applyBorder="1" applyAlignment="1">
      <alignment horizontal="left" vertical="center" indent="1"/>
    </xf>
    <xf numFmtId="177" fontId="0" fillId="0" borderId="30" xfId="0" applyNumberFormat="1" applyBorder="1" applyAlignment="1">
      <alignment horizontal="left" vertical="center" indent="1"/>
    </xf>
    <xf numFmtId="0" fontId="0" fillId="0" borderId="30" xfId="0" applyBorder="1" applyAlignment="1">
      <alignment horizontal="left" vertical="center" indent="1"/>
    </xf>
    <xf numFmtId="169" fontId="5" fillId="0" borderId="30" xfId="1" applyNumberFormat="1" applyFont="1" applyBorder="1" applyAlignment="1">
      <alignment horizontal="right" vertical="center"/>
    </xf>
    <xf numFmtId="169" fontId="5" fillId="0" borderId="32" xfId="1" applyNumberFormat="1" applyFont="1" applyBorder="1" applyAlignment="1">
      <alignment vertical="center"/>
    </xf>
    <xf numFmtId="167" fontId="24" fillId="4" borderId="35" xfId="0" applyNumberFormat="1" applyFont="1" applyFill="1" applyBorder="1" applyAlignment="1">
      <alignment horizontal="centerContinuous" vertical="center"/>
    </xf>
    <xf numFmtId="164" fontId="24" fillId="5" borderId="36" xfId="0" applyNumberFormat="1" applyFont="1" applyFill="1" applyBorder="1" applyAlignment="1">
      <alignment horizontal="right" vertical="center"/>
    </xf>
    <xf numFmtId="0" fontId="12" fillId="7" borderId="37" xfId="1" applyFont="1" applyFill="1" applyBorder="1" applyAlignment="1">
      <alignment horizontal="center" vertical="center"/>
    </xf>
    <xf numFmtId="170" fontId="8" fillId="8" borderId="35" xfId="1" applyNumberFormat="1" applyFont="1" applyFill="1" applyBorder="1" applyAlignment="1">
      <alignment horizontal="right" vertical="center"/>
    </xf>
    <xf numFmtId="170" fontId="8" fillId="8" borderId="34" xfId="1" applyNumberFormat="1" applyFont="1" applyFill="1" applyBorder="1" applyAlignment="1">
      <alignment horizontal="right" vertical="center"/>
    </xf>
    <xf numFmtId="167" fontId="24" fillId="4" borderId="0" xfId="2" applyNumberFormat="1" applyFont="1" applyFill="1" applyBorder="1" applyAlignment="1">
      <alignment horizontal="right" vertical="center"/>
    </xf>
    <xf numFmtId="0" fontId="12" fillId="0" borderId="0" xfId="1" applyFont="1" applyBorder="1" applyAlignment="1">
      <alignment horizontal="center" vertical="center"/>
    </xf>
    <xf numFmtId="169" fontId="5" fillId="0" borderId="0" xfId="1" applyNumberFormat="1" applyFont="1" applyBorder="1" applyAlignment="1">
      <alignment horizontal="right" vertical="center"/>
    </xf>
    <xf numFmtId="167" fontId="8" fillId="8" borderId="0" xfId="1" applyNumberFormat="1" applyFont="1" applyFill="1" applyBorder="1" applyAlignment="1">
      <alignment horizontal="right" vertical="center"/>
    </xf>
    <xf numFmtId="167" fontId="8" fillId="8" borderId="27" xfId="1" applyNumberFormat="1" applyFont="1" applyFill="1" applyBorder="1" applyAlignment="1">
      <alignment horizontal="right" vertical="center"/>
    </xf>
    <xf numFmtId="37" fontId="8" fillId="0" borderId="30" xfId="1" applyNumberFormat="1" applyFont="1" applyBorder="1" applyAlignment="1">
      <alignment horizontal="left" vertical="center" indent="1"/>
    </xf>
    <xf numFmtId="0" fontId="13" fillId="0" borderId="30" xfId="1" applyFont="1" applyBorder="1"/>
    <xf numFmtId="0" fontId="16" fillId="0" borderId="30" xfId="1" applyFont="1" applyBorder="1"/>
    <xf numFmtId="167" fontId="8" fillId="8" borderId="30" xfId="1" applyNumberFormat="1" applyFont="1" applyFill="1" applyBorder="1" applyAlignment="1">
      <alignment horizontal="right" vertical="center"/>
    </xf>
    <xf numFmtId="167" fontId="8" fillId="8" borderId="32" xfId="1" applyNumberFormat="1" applyFont="1" applyFill="1" applyBorder="1" applyAlignment="1">
      <alignment horizontal="right" vertical="center"/>
    </xf>
  </cellXfs>
  <cellStyles count="5">
    <cellStyle name="Hyperlink" xfId="4" builtinId="8"/>
    <cellStyle name="Normal" xfId="0" builtinId="0"/>
    <cellStyle name="Normal 2 2 2" xfId="1" xr:uid="{D541E4F0-71A2-4E51-AE37-461C4696B096}"/>
    <cellStyle name="Normal_Master Junior Database v2" xfId="2" xr:uid="{CCBDD18A-8383-477B-A2EB-5B5059CF3CD2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33"/>
  <sheetViews>
    <sheetView tabSelected="1" workbookViewId="0"/>
  </sheetViews>
  <sheetFormatPr defaultRowHeight="15"/>
  <cols>
    <col min="1" max="1" width="4.7109375" style="55" customWidth="1"/>
    <col min="2" max="2" width="4.28515625" style="55" customWidth="1"/>
    <col min="3" max="13" width="9.140625" style="55"/>
    <col min="14" max="14" width="12" style="55" bestFit="1" customWidth="1"/>
    <col min="15" max="15" width="3.28515625" style="55" customWidth="1"/>
    <col min="16" max="16" width="10.42578125" style="55" customWidth="1"/>
    <col min="17" max="17" width="9.140625" style="55"/>
    <col min="18" max="18" width="10.140625" style="55" bestFit="1" customWidth="1"/>
    <col min="19" max="16384" width="9.140625" style="55"/>
  </cols>
  <sheetData>
    <row r="2" spans="2:20"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2:20" ht="15" customHeight="1">
      <c r="B3" s="54"/>
      <c r="C3" s="56" t="s">
        <v>80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27"/>
      <c r="Q3" s="57"/>
      <c r="R3" s="58"/>
      <c r="S3" s="58"/>
    </row>
    <row r="4" spans="2:20" ht="15" customHeight="1"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27"/>
      <c r="Q4" s="57"/>
      <c r="R4" s="58"/>
      <c r="S4" s="58"/>
    </row>
    <row r="5" spans="2:20" ht="15" customHeight="1">
      <c r="B5" s="54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27"/>
      <c r="Q5" s="57"/>
      <c r="R5" s="59"/>
      <c r="S5" s="59"/>
    </row>
    <row r="6" spans="2:20" ht="15" customHeight="1">
      <c r="B6" s="54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27"/>
      <c r="Q6" s="57"/>
      <c r="R6" s="58"/>
      <c r="S6" s="58"/>
    </row>
    <row r="7" spans="2:20" ht="15" customHeight="1">
      <c r="B7" s="54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27"/>
      <c r="Q7" s="57"/>
      <c r="R7" s="58"/>
      <c r="S7" s="58"/>
    </row>
    <row r="8" spans="2:20" ht="35.25">
      <c r="B8" s="54"/>
      <c r="C8" s="60" t="s">
        <v>81</v>
      </c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54"/>
      <c r="Q8" s="54"/>
      <c r="R8" s="54"/>
      <c r="S8" s="54"/>
    </row>
    <row r="9" spans="2:20">
      <c r="B9" s="54"/>
      <c r="C9" s="62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</row>
    <row r="10" spans="2:20"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</row>
    <row r="11" spans="2:20" ht="16.5" customHeight="1">
      <c r="B11" s="63"/>
      <c r="C11" s="64" t="s">
        <v>66</v>
      </c>
      <c r="D11" s="64"/>
      <c r="E11" s="64"/>
      <c r="F11" s="64"/>
      <c r="G11" s="64"/>
      <c r="H11" s="64"/>
      <c r="I11" s="64"/>
      <c r="J11" s="63"/>
      <c r="K11" s="63"/>
      <c r="L11" s="63"/>
      <c r="M11" s="63"/>
      <c r="N11" s="65" t="s">
        <v>67</v>
      </c>
      <c r="O11" s="65"/>
      <c r="P11" s="65"/>
      <c r="Q11" s="65"/>
      <c r="R11" s="65"/>
      <c r="S11" s="63"/>
    </row>
    <row r="12" spans="2:20" ht="16.5" customHeight="1" thickBot="1">
      <c r="B12" s="63"/>
      <c r="C12" s="66"/>
      <c r="D12" s="66"/>
      <c r="E12" s="66"/>
      <c r="F12" s="66"/>
      <c r="G12" s="66"/>
      <c r="H12" s="66"/>
      <c r="I12" s="66"/>
      <c r="J12" s="63"/>
      <c r="K12" s="63"/>
      <c r="L12" s="63"/>
      <c r="M12" s="63"/>
      <c r="N12" s="67"/>
      <c r="O12" s="67"/>
      <c r="P12" s="67"/>
      <c r="Q12" s="67"/>
      <c r="R12" s="67"/>
      <c r="S12" s="68"/>
      <c r="T12" s="69"/>
    </row>
    <row r="13" spans="2:20" ht="15.75">
      <c r="B13" s="63"/>
      <c r="C13" s="70" t="s">
        <v>68</v>
      </c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71" t="s">
        <v>69</v>
      </c>
      <c r="O13" s="71" t="s">
        <v>70</v>
      </c>
      <c r="P13" s="71" t="s">
        <v>71</v>
      </c>
      <c r="Q13" s="71"/>
      <c r="R13" s="71"/>
      <c r="S13" s="68"/>
      <c r="T13" s="69"/>
    </row>
    <row r="14" spans="2:20" ht="15.75" customHeight="1">
      <c r="B14" s="63"/>
      <c r="C14" s="74" t="s">
        <v>91</v>
      </c>
      <c r="D14" s="74"/>
      <c r="E14" s="74"/>
      <c r="F14" s="74"/>
      <c r="G14" s="74"/>
      <c r="H14" s="74"/>
      <c r="I14" s="74"/>
      <c r="J14" s="63"/>
      <c r="K14" s="63"/>
      <c r="L14" s="63"/>
      <c r="M14" s="63"/>
      <c r="N14" s="72"/>
      <c r="O14" s="72"/>
      <c r="P14" s="72"/>
      <c r="Q14" s="72"/>
      <c r="R14" s="72"/>
      <c r="S14" s="68"/>
    </row>
    <row r="15" spans="2:20" ht="16.5" customHeight="1">
      <c r="B15" s="63"/>
      <c r="C15" s="74"/>
      <c r="D15" s="74"/>
      <c r="E15" s="74"/>
      <c r="F15" s="74"/>
      <c r="G15" s="74"/>
      <c r="H15" s="74"/>
      <c r="I15" s="74"/>
      <c r="J15" s="63"/>
      <c r="K15" s="63"/>
      <c r="L15" s="63"/>
      <c r="M15" s="63"/>
      <c r="N15" s="73" t="s">
        <v>72</v>
      </c>
      <c r="O15" s="73" t="s">
        <v>70</v>
      </c>
      <c r="P15" s="73" t="s">
        <v>97</v>
      </c>
      <c r="Q15" s="73"/>
      <c r="R15" s="73"/>
      <c r="S15" s="68"/>
    </row>
    <row r="16" spans="2:20" ht="15.75">
      <c r="B16" s="63"/>
      <c r="C16" s="74" t="s">
        <v>90</v>
      </c>
      <c r="D16" s="74"/>
      <c r="E16" s="74"/>
      <c r="F16" s="74"/>
      <c r="G16" s="74"/>
      <c r="H16" s="74"/>
      <c r="I16" s="74"/>
      <c r="J16" s="63"/>
      <c r="K16" s="63"/>
      <c r="L16" s="63"/>
      <c r="M16" s="63"/>
      <c r="N16" s="75"/>
      <c r="O16" s="75"/>
      <c r="P16" s="75"/>
      <c r="Q16" s="75"/>
      <c r="R16" s="75"/>
      <c r="S16" s="68"/>
    </row>
    <row r="17" spans="2:19" ht="15.75">
      <c r="B17" s="63"/>
      <c r="C17" s="74"/>
      <c r="D17" s="74"/>
      <c r="E17" s="74"/>
      <c r="F17" s="74"/>
      <c r="G17" s="74"/>
      <c r="H17" s="74"/>
      <c r="I17" s="74"/>
      <c r="J17" s="63"/>
      <c r="K17" s="63"/>
      <c r="L17" s="63"/>
      <c r="M17" s="63"/>
      <c r="N17" s="73" t="s">
        <v>11</v>
      </c>
      <c r="O17" s="73" t="s">
        <v>70</v>
      </c>
      <c r="P17" s="76">
        <v>46174</v>
      </c>
      <c r="Q17" s="76"/>
      <c r="R17" s="76"/>
      <c r="S17" s="68"/>
    </row>
    <row r="18" spans="2:19" ht="15.75">
      <c r="B18" s="63"/>
      <c r="C18" s="74" t="s">
        <v>92</v>
      </c>
      <c r="D18" s="74"/>
      <c r="E18" s="74"/>
      <c r="F18" s="74"/>
      <c r="G18" s="74"/>
      <c r="H18" s="74"/>
      <c r="I18" s="74"/>
      <c r="J18" s="63"/>
      <c r="K18" s="63"/>
      <c r="L18" s="63"/>
      <c r="M18" s="63"/>
      <c r="N18" s="75"/>
      <c r="O18" s="75"/>
      <c r="P18" s="77"/>
      <c r="Q18" s="77"/>
      <c r="R18" s="77"/>
      <c r="S18" s="68"/>
    </row>
    <row r="19" spans="2:19" ht="15.75">
      <c r="B19" s="63"/>
      <c r="C19" s="74"/>
      <c r="D19" s="74"/>
      <c r="E19" s="74"/>
      <c r="F19" s="74"/>
      <c r="G19" s="74"/>
      <c r="H19" s="74"/>
      <c r="I19" s="74"/>
      <c r="J19" s="63"/>
      <c r="K19" s="63"/>
      <c r="L19" s="63"/>
      <c r="M19" s="63"/>
      <c r="N19" s="73" t="s">
        <v>73</v>
      </c>
      <c r="O19" s="73" t="s">
        <v>70</v>
      </c>
      <c r="P19" s="78" t="s">
        <v>74</v>
      </c>
      <c r="Q19" s="78"/>
      <c r="R19" s="78"/>
      <c r="S19" s="68"/>
    </row>
    <row r="20" spans="2:19" ht="15.75">
      <c r="B20" s="63"/>
      <c r="C20" s="74" t="s">
        <v>93</v>
      </c>
      <c r="D20" s="74"/>
      <c r="E20" s="74"/>
      <c r="F20" s="74"/>
      <c r="G20" s="74"/>
      <c r="H20" s="74"/>
      <c r="I20" s="74"/>
      <c r="J20" s="63"/>
      <c r="K20" s="63"/>
      <c r="L20" s="63"/>
      <c r="M20" s="63"/>
      <c r="N20" s="75"/>
      <c r="O20" s="75"/>
      <c r="P20" s="79" t="s">
        <v>75</v>
      </c>
      <c r="Q20" s="79"/>
      <c r="R20" s="79"/>
      <c r="S20" s="68"/>
    </row>
    <row r="21" spans="2:19" ht="15.75">
      <c r="B21" s="63"/>
      <c r="C21" s="74"/>
      <c r="D21" s="74"/>
      <c r="E21" s="74"/>
      <c r="F21" s="74"/>
      <c r="G21" s="74"/>
      <c r="H21" s="74"/>
      <c r="I21" s="74"/>
      <c r="J21" s="63"/>
      <c r="K21" s="63"/>
      <c r="L21" s="63"/>
      <c r="M21" s="63"/>
      <c r="N21" s="73" t="s">
        <v>98</v>
      </c>
      <c r="O21" s="73" t="s">
        <v>70</v>
      </c>
      <c r="P21" s="91" t="s">
        <v>99</v>
      </c>
      <c r="Q21" s="91"/>
      <c r="R21" s="91"/>
      <c r="S21" s="68"/>
    </row>
    <row r="22" spans="2:19" ht="15.75"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75"/>
      <c r="O22" s="75"/>
      <c r="P22" s="92" t="s">
        <v>10</v>
      </c>
      <c r="Q22" s="92"/>
      <c r="R22" s="92"/>
      <c r="S22" s="68"/>
    </row>
    <row r="23" spans="2:19" ht="15.75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89"/>
      <c r="O23" s="63"/>
      <c r="P23" s="63"/>
      <c r="Q23" s="63"/>
      <c r="R23" s="63"/>
      <c r="S23" s="68"/>
    </row>
    <row r="24" spans="2:19" ht="15.75"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8"/>
    </row>
    <row r="25" spans="2:19" ht="15.75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8"/>
    </row>
    <row r="26" spans="2:19" ht="15.75">
      <c r="B26" s="63"/>
      <c r="C26" s="63"/>
      <c r="D26" s="63"/>
      <c r="E26" s="63"/>
      <c r="F26" s="63"/>
      <c r="G26" s="63"/>
      <c r="H26" s="63"/>
      <c r="I26" s="63"/>
      <c r="J26" s="80"/>
      <c r="K26" s="63"/>
      <c r="L26" s="63"/>
      <c r="M26" s="63"/>
      <c r="N26" s="63"/>
      <c r="O26" s="63"/>
      <c r="P26" s="63"/>
      <c r="Q26" s="63"/>
      <c r="R26" s="63"/>
      <c r="S26" s="68"/>
    </row>
    <row r="27" spans="2:19" ht="15.75">
      <c r="B27" s="63"/>
      <c r="C27" s="89" t="s">
        <v>79</v>
      </c>
      <c r="D27" s="63"/>
      <c r="E27" s="63"/>
      <c r="F27" s="63"/>
      <c r="G27" s="63"/>
      <c r="H27" s="63"/>
      <c r="I27" s="63"/>
      <c r="J27" s="80"/>
      <c r="K27" s="63"/>
      <c r="L27" s="63"/>
      <c r="M27" s="63"/>
      <c r="N27" s="81" t="s">
        <v>76</v>
      </c>
      <c r="O27" s="82"/>
      <c r="P27" s="82"/>
      <c r="Q27" s="82"/>
      <c r="R27" s="83"/>
      <c r="S27" s="68"/>
    </row>
    <row r="28" spans="2:19" ht="15.75">
      <c r="B28" s="63"/>
      <c r="C28" s="63" t="s">
        <v>94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84" t="s">
        <v>77</v>
      </c>
      <c r="O28" s="63"/>
      <c r="P28" s="63"/>
      <c r="Q28" s="63"/>
      <c r="R28" s="85"/>
      <c r="S28" s="68"/>
    </row>
    <row r="29" spans="2:19" ht="15.75">
      <c r="B29" s="63"/>
      <c r="C29" s="63" t="s">
        <v>95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86" t="s">
        <v>78</v>
      </c>
      <c r="O29" s="87"/>
      <c r="P29" s="87"/>
      <c r="Q29" s="87"/>
      <c r="R29" s="88"/>
      <c r="S29" s="68"/>
    </row>
    <row r="30" spans="2:19" ht="15.75">
      <c r="B30" s="63"/>
      <c r="C30" s="63" t="s">
        <v>96</v>
      </c>
      <c r="D30" s="63"/>
      <c r="E30" s="63"/>
      <c r="F30" s="63"/>
      <c r="G30" s="63"/>
      <c r="H30" s="63"/>
      <c r="I30" s="63"/>
      <c r="J30" s="63"/>
      <c r="K30" s="63"/>
      <c r="L30" s="63"/>
      <c r="M30" s="63"/>
      <c r="N30"/>
      <c r="O30" s="63"/>
      <c r="P30" s="63"/>
      <c r="Q30" s="63"/>
      <c r="R30" s="63"/>
      <c r="S30" s="68"/>
    </row>
    <row r="31" spans="2:19" ht="15.75"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8"/>
    </row>
    <row r="32" spans="2:19" ht="15.75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8"/>
    </row>
    <row r="33" spans="19:19" ht="15.75">
      <c r="S33" s="69"/>
    </row>
  </sheetData>
  <mergeCells count="21">
    <mergeCell ref="J26:J27"/>
    <mergeCell ref="C16:I17"/>
    <mergeCell ref="N17:N18"/>
    <mergeCell ref="O17:O18"/>
    <mergeCell ref="P17:R18"/>
    <mergeCell ref="C18:I19"/>
    <mergeCell ref="N19:N20"/>
    <mergeCell ref="O19:O20"/>
    <mergeCell ref="C20:I21"/>
    <mergeCell ref="N21:N22"/>
    <mergeCell ref="O21:O22"/>
    <mergeCell ref="C3:O7"/>
    <mergeCell ref="C11:I12"/>
    <mergeCell ref="N11:R12"/>
    <mergeCell ref="N13:N14"/>
    <mergeCell ref="O13:O14"/>
    <mergeCell ref="P13:R14"/>
    <mergeCell ref="C14:I15"/>
    <mergeCell ref="N15:N16"/>
    <mergeCell ref="O15:O16"/>
    <mergeCell ref="P15:R16"/>
  </mergeCells>
  <hyperlinks>
    <hyperlink ref="C16:I17" location="'Trading Comps'!A1" display="Trading Comps" xr:uid="{B00BD242-6AF5-4239-89CF-92455A0C2EFE}"/>
    <hyperlink ref="C18:I19" location="'Precedent Transactions'!A1" display="Precedent Transactions" xr:uid="{C9FACEC6-74D1-4390-99F6-00063CB38EB1}"/>
    <hyperlink ref="C20:I21" location="Appendix!A1" display="Appendix" xr:uid="{0A97CAF3-48AA-4031-9581-28A161189DFD}"/>
    <hyperlink ref="C14:I15" location="Inputs!A1" display="Inputs" xr:uid="{2E611527-B67B-4561-874F-C6E238954A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4AC6-416A-4303-B830-4A1F6AD3141C}">
  <dimension ref="B2:L25"/>
  <sheetViews>
    <sheetView showGridLines="0" zoomScaleNormal="100" workbookViewId="0"/>
  </sheetViews>
  <sheetFormatPr defaultRowHeight="15"/>
  <cols>
    <col min="1" max="1" width="4" customWidth="1"/>
    <col min="2" max="2" width="30.28515625" customWidth="1"/>
    <col min="3" max="3" width="10.5703125" customWidth="1"/>
    <col min="4" max="9" width="24.28515625" customWidth="1"/>
    <col min="10" max="10" width="26.42578125" bestFit="1" customWidth="1"/>
    <col min="11" max="11" width="24.28515625" customWidth="1"/>
    <col min="12" max="12" width="12.28515625" bestFit="1" customWidth="1"/>
  </cols>
  <sheetData>
    <row r="2" spans="2:12" ht="26.25">
      <c r="B2" s="26" t="s">
        <v>28</v>
      </c>
      <c r="C2" s="27"/>
      <c r="D2" s="27"/>
      <c r="E2" s="27"/>
      <c r="F2" s="27"/>
      <c r="G2" s="27"/>
      <c r="H2" s="27"/>
      <c r="I2" s="27"/>
      <c r="J2" s="27"/>
      <c r="K2" s="27"/>
    </row>
    <row r="3" spans="2:12" ht="26.25">
      <c r="B3" s="28" t="s">
        <v>53</v>
      </c>
      <c r="C3" s="29"/>
      <c r="D3" s="33" t="s">
        <v>20</v>
      </c>
      <c r="E3" s="33" t="s">
        <v>25</v>
      </c>
      <c r="F3" s="33" t="s">
        <v>21</v>
      </c>
      <c r="G3" s="33" t="s">
        <v>22</v>
      </c>
      <c r="H3" s="33" t="s">
        <v>23</v>
      </c>
      <c r="I3" s="33" t="s">
        <v>26</v>
      </c>
      <c r="J3" s="33" t="s">
        <v>27</v>
      </c>
      <c r="K3" s="39" t="s">
        <v>24</v>
      </c>
    </row>
    <row r="5" spans="2:12">
      <c r="B5" s="15" t="s">
        <v>15</v>
      </c>
      <c r="D5" s="95">
        <f>2055.2*(2349591262/10000000)</f>
        <v>482887.9961662399</v>
      </c>
      <c r="E5" s="95">
        <v>0</v>
      </c>
      <c r="F5" s="95">
        <f>1104+374</f>
        <v>1478</v>
      </c>
      <c r="G5" s="95">
        <v>269</v>
      </c>
      <c r="H5" s="95">
        <f>(2583+665)*-1</f>
        <v>-3248</v>
      </c>
      <c r="I5" s="95">
        <v>-4247</v>
      </c>
      <c r="J5" s="95">
        <v>-112</v>
      </c>
      <c r="K5" s="17">
        <f>SUM(D5:J5)</f>
        <v>477027.9961662399</v>
      </c>
    </row>
    <row r="6" spans="2:12">
      <c r="B6" s="15" t="s">
        <v>16</v>
      </c>
      <c r="D6" s="95">
        <f>287.7*1252.95</f>
        <v>360473.71500000003</v>
      </c>
      <c r="E6" s="95">
        <f>60+2126.22</f>
        <v>2186.2199999999998</v>
      </c>
      <c r="F6" s="95">
        <f>140.86+71.98</f>
        <v>212.84000000000003</v>
      </c>
      <c r="G6" s="95">
        <v>365.72</v>
      </c>
      <c r="H6" s="95">
        <f>(643.46+2365.33)*-1</f>
        <v>-3008.79</v>
      </c>
      <c r="I6" s="95">
        <v>-20750.64</v>
      </c>
      <c r="J6" s="95">
        <v>-12089.55</v>
      </c>
      <c r="K6" s="17">
        <f>SUM(D6:J6)</f>
        <v>327389.51500000001</v>
      </c>
    </row>
    <row r="7" spans="2:12">
      <c r="B7" s="15" t="s">
        <v>17</v>
      </c>
      <c r="D7" s="95">
        <f>410.45*177.23</f>
        <v>72744.053499999995</v>
      </c>
      <c r="E7" s="95">
        <f>15.96+1046.72</f>
        <v>1062.68</v>
      </c>
      <c r="F7" s="95">
        <f>181.18+43.46</f>
        <v>224.64000000000001</v>
      </c>
      <c r="G7" s="95">
        <v>383.23</v>
      </c>
      <c r="H7" s="95">
        <f>(199.37+362.7)*-1</f>
        <v>-562.06999999999994</v>
      </c>
      <c r="I7" s="95">
        <v>-4595.47</v>
      </c>
      <c r="J7" s="95">
        <v>-4331.16</v>
      </c>
      <c r="K7" s="17">
        <f>SUM(D7:J7)</f>
        <v>64925.903499999971</v>
      </c>
    </row>
    <row r="8" spans="2:12">
      <c r="B8" s="15" t="s">
        <v>18</v>
      </c>
      <c r="D8" s="95">
        <f>1014.8*(989561780/10000000)</f>
        <v>100420.7294344</v>
      </c>
      <c r="E8" s="95">
        <f>302.14+1818.17</f>
        <v>2120.31</v>
      </c>
      <c r="F8" s="95">
        <f>608.64+90.56</f>
        <v>699.2</v>
      </c>
      <c r="G8" s="95">
        <v>1401.33</v>
      </c>
      <c r="H8" s="95">
        <f>(3046.57+373.92)*-1</f>
        <v>-3420.4900000000002</v>
      </c>
      <c r="I8" s="95">
        <v>-868.2</v>
      </c>
      <c r="J8" s="95">
        <v>-285.7</v>
      </c>
      <c r="K8" s="17">
        <f>SUM(D8:J8)</f>
        <v>100067.17943439999</v>
      </c>
      <c r="L8" s="16"/>
    </row>
    <row r="10" spans="2:12" ht="26.25">
      <c r="B10" s="26" t="s">
        <v>29</v>
      </c>
      <c r="C10" s="27"/>
      <c r="D10" s="27"/>
      <c r="E10" s="27"/>
      <c r="F10" s="27"/>
      <c r="G10" s="27"/>
      <c r="H10" s="27"/>
      <c r="I10" s="27"/>
      <c r="J10" s="27"/>
      <c r="K10" s="27"/>
    </row>
    <row r="11" spans="2:12" ht="26.25">
      <c r="B11" s="31" t="s">
        <v>53</v>
      </c>
      <c r="C11" s="28"/>
      <c r="D11" s="32" t="s">
        <v>32</v>
      </c>
      <c r="E11" s="30" t="s">
        <v>31</v>
      </c>
      <c r="F11" s="32" t="s">
        <v>30</v>
      </c>
      <c r="G11" s="30" t="s">
        <v>3</v>
      </c>
      <c r="H11" s="40" t="s">
        <v>54</v>
      </c>
      <c r="I11" s="40" t="s">
        <v>42</v>
      </c>
      <c r="J11" s="40" t="s">
        <v>55</v>
      </c>
      <c r="K11" s="38" t="s">
        <v>56</v>
      </c>
    </row>
    <row r="13" spans="2:12">
      <c r="B13" s="15" t="s">
        <v>52</v>
      </c>
      <c r="D13" s="96">
        <v>44888.7</v>
      </c>
      <c r="E13" s="97">
        <v>1583.1</v>
      </c>
      <c r="F13" s="97">
        <v>6992.3</v>
      </c>
      <c r="G13" s="98">
        <f>SUM(D13:F13)</f>
        <v>53464.1</v>
      </c>
      <c r="H13" s="97">
        <v>231546</v>
      </c>
      <c r="I13" s="101" t="s">
        <v>57</v>
      </c>
      <c r="J13" s="101" t="s">
        <v>57</v>
      </c>
      <c r="K13" s="101" t="s">
        <v>57</v>
      </c>
    </row>
    <row r="14" spans="2:12">
      <c r="B14" s="15" t="s">
        <v>15</v>
      </c>
      <c r="D14" s="99">
        <v>14062</v>
      </c>
      <c r="E14" s="99">
        <v>410</v>
      </c>
      <c r="F14" s="99">
        <v>1333</v>
      </c>
      <c r="G14" s="98">
        <f>SUM(D14:F14)</f>
        <v>15805</v>
      </c>
      <c r="H14" s="99">
        <v>64468</v>
      </c>
      <c r="I14" s="25">
        <f>G14/H14</f>
        <v>0.24516038965067941</v>
      </c>
      <c r="J14" s="16">
        <f>H14*(1+0.12)</f>
        <v>72204.160000000003</v>
      </c>
      <c r="K14" s="17">
        <f>J14*I14</f>
        <v>17701.600000000002</v>
      </c>
    </row>
    <row r="15" spans="2:12">
      <c r="B15" s="15" t="s">
        <v>16</v>
      </c>
      <c r="D15" s="99">
        <f>28325.09-377.08</f>
        <v>27948.01</v>
      </c>
      <c r="E15" s="99">
        <v>85.17</v>
      </c>
      <c r="F15" s="99">
        <v>1710.53</v>
      </c>
      <c r="G15" s="98">
        <f>SUM(D15:F15)</f>
        <v>29743.709999999995</v>
      </c>
      <c r="H15" s="99">
        <v>89913.33</v>
      </c>
      <c r="I15" s="25">
        <f t="shared" ref="I15:I17" si="0">G15/H15</f>
        <v>0.33080423114125562</v>
      </c>
      <c r="J15" s="16">
        <f>H15*(1+0.042)</f>
        <v>93689.689859999999</v>
      </c>
      <c r="K15" s="17">
        <f t="shared" ref="K15:K17" si="1">J15*I15</f>
        <v>30992.945819999994</v>
      </c>
    </row>
    <row r="16" spans="2:12">
      <c r="B16" s="15" t="s">
        <v>17</v>
      </c>
      <c r="D16" s="99">
        <v>2437.2800000000002</v>
      </c>
      <c r="E16" s="99">
        <v>145.4</v>
      </c>
      <c r="F16" s="99">
        <v>468.93</v>
      </c>
      <c r="G16" s="98">
        <f>SUM(D16:F16)</f>
        <v>3051.61</v>
      </c>
      <c r="H16" s="99">
        <v>13192.57</v>
      </c>
      <c r="I16" s="25">
        <f t="shared" si="0"/>
        <v>0.23131277681300916</v>
      </c>
      <c r="J16" s="16">
        <f>H16*(1+0.05)</f>
        <v>13852.1985</v>
      </c>
      <c r="K16" s="17">
        <f t="shared" si="1"/>
        <v>3204.1905000000002</v>
      </c>
    </row>
    <row r="17" spans="2:12">
      <c r="B17" s="15" t="s">
        <v>18</v>
      </c>
      <c r="D17" s="99">
        <v>2192.84</v>
      </c>
      <c r="E17" s="99">
        <v>137.03</v>
      </c>
      <c r="F17" s="99">
        <v>626.67999999999995</v>
      </c>
      <c r="G17" s="98">
        <f>SUM(D17:F17)</f>
        <v>2956.55</v>
      </c>
      <c r="H17" s="99">
        <v>20290.43</v>
      </c>
      <c r="I17" s="25">
        <f t="shared" si="0"/>
        <v>0.14571154973058728</v>
      </c>
      <c r="J17" s="16">
        <f>H17*(1+0.123)</f>
        <v>22786.152890000001</v>
      </c>
      <c r="K17" s="17">
        <f t="shared" si="1"/>
        <v>3320.2056500000003</v>
      </c>
    </row>
    <row r="18" spans="2:12">
      <c r="G18" s="17"/>
    </row>
    <row r="19" spans="2:12" ht="26.25">
      <c r="B19" s="26" t="s">
        <v>48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2:12" ht="26.25">
      <c r="B20" s="31" t="s">
        <v>53</v>
      </c>
      <c r="C20" s="29"/>
      <c r="D20" s="34" t="s">
        <v>50</v>
      </c>
      <c r="E20" s="35"/>
      <c r="F20" s="35"/>
      <c r="G20" s="35"/>
      <c r="H20" s="37" t="s">
        <v>51</v>
      </c>
      <c r="I20" s="37"/>
      <c r="J20" s="37"/>
      <c r="K20" s="36" t="s">
        <v>49</v>
      </c>
    </row>
    <row r="21" spans="2:12">
      <c r="B21" s="1"/>
    </row>
    <row r="22" spans="2:12">
      <c r="B22" s="15" t="s">
        <v>15</v>
      </c>
      <c r="D22" s="100">
        <v>10143</v>
      </c>
      <c r="E22" s="100">
        <v>10282</v>
      </c>
      <c r="F22" s="100">
        <v>10671</v>
      </c>
      <c r="G22" s="100">
        <v>15059</v>
      </c>
      <c r="H22" s="25">
        <f>(E22-D22)/E22</f>
        <v>1.3518770667185372E-2</v>
      </c>
      <c r="I22" s="25">
        <f t="shared" ref="I22:J22" si="2">(F22-E22)/F22</f>
        <v>3.6453940586636681E-2</v>
      </c>
      <c r="J22" s="25">
        <f t="shared" si="2"/>
        <v>0.29138721030612924</v>
      </c>
      <c r="K22" s="25">
        <f>AVERAGE(H22:J22)/3</f>
        <v>3.7928880173327927E-2</v>
      </c>
      <c r="L22" s="24"/>
    </row>
    <row r="23" spans="2:12">
      <c r="B23" s="15" t="s">
        <v>16</v>
      </c>
      <c r="D23" s="100">
        <v>19477</v>
      </c>
      <c r="E23" s="100">
        <v>20751</v>
      </c>
      <c r="F23" s="100">
        <v>35052</v>
      </c>
      <c r="G23" s="100">
        <v>21018</v>
      </c>
      <c r="H23" s="25">
        <f t="shared" ref="H23:H25" si="3">(E23-D23)/E23</f>
        <v>6.1394631584020046E-2</v>
      </c>
      <c r="I23" s="25">
        <f t="shared" ref="I23:I25" si="4">(F23-E23)/F23</f>
        <v>0.40799383772680586</v>
      </c>
      <c r="J23" s="25">
        <f t="shared" ref="J23:J25" si="5">(G23-F23)/G23</f>
        <v>-0.66771338852412221</v>
      </c>
      <c r="K23" s="25">
        <f t="shared" ref="K23:K25" si="6">AVERAGE(H23:J23)/3</f>
        <v>-2.2036102134810703E-2</v>
      </c>
    </row>
    <row r="24" spans="2:12">
      <c r="B24" s="15" t="s">
        <v>17</v>
      </c>
      <c r="D24" s="100">
        <v>1701</v>
      </c>
      <c r="E24" s="100">
        <v>1811</v>
      </c>
      <c r="F24" s="100">
        <v>1740</v>
      </c>
      <c r="G24" s="100">
        <v>1869</v>
      </c>
      <c r="H24" s="25">
        <f t="shared" si="3"/>
        <v>6.0739922694643844E-2</v>
      </c>
      <c r="I24" s="25">
        <f t="shared" si="4"/>
        <v>-4.0804597701149428E-2</v>
      </c>
      <c r="J24" s="25">
        <f t="shared" si="5"/>
        <v>6.9020866773675763E-2</v>
      </c>
      <c r="K24" s="25">
        <f t="shared" si="6"/>
        <v>9.8840213074633532E-3</v>
      </c>
    </row>
    <row r="25" spans="2:12">
      <c r="B25" s="15" t="s">
        <v>18</v>
      </c>
      <c r="D25" s="100">
        <v>1320</v>
      </c>
      <c r="E25" s="100">
        <v>1215</v>
      </c>
      <c r="F25" s="100">
        <v>1287</v>
      </c>
      <c r="G25" s="100">
        <v>1547</v>
      </c>
      <c r="H25" s="25">
        <f t="shared" si="3"/>
        <v>-8.6419753086419748E-2</v>
      </c>
      <c r="I25" s="25">
        <f t="shared" si="4"/>
        <v>5.5944055944055944E-2</v>
      </c>
      <c r="J25" s="25">
        <f t="shared" si="5"/>
        <v>0.16806722689075632</v>
      </c>
      <c r="K25" s="25">
        <f t="shared" si="6"/>
        <v>1.5287947749821389E-2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C7DE-525F-4412-BA3F-FFBA64F70097}">
  <dimension ref="B2:L18"/>
  <sheetViews>
    <sheetView showGridLines="0" zoomScaleNormal="100" workbookViewId="0"/>
  </sheetViews>
  <sheetFormatPr defaultRowHeight="15"/>
  <cols>
    <col min="1" max="1" width="6.140625" customWidth="1"/>
    <col min="2" max="2" width="41.42578125" bestFit="1" customWidth="1"/>
    <col min="3" max="4" width="12.7109375" bestFit="1" customWidth="1"/>
    <col min="5" max="12" width="10.140625" customWidth="1"/>
  </cols>
  <sheetData>
    <row r="2" spans="2:12" ht="26.25"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2:12" ht="15.75">
      <c r="B4" s="52" t="s">
        <v>4</v>
      </c>
      <c r="C4" s="93" t="s">
        <v>1</v>
      </c>
      <c r="D4" s="103" t="s">
        <v>2</v>
      </c>
      <c r="E4" s="105" t="s">
        <v>43</v>
      </c>
      <c r="F4" s="113"/>
      <c r="G4" s="114" t="s">
        <v>44</v>
      </c>
      <c r="H4" s="113"/>
      <c r="I4" s="114" t="s">
        <v>45</v>
      </c>
      <c r="J4" s="106"/>
      <c r="K4" s="114" t="s">
        <v>46</v>
      </c>
      <c r="L4" s="107"/>
    </row>
    <row r="5" spans="2:12" ht="15.75">
      <c r="B5" s="53"/>
      <c r="C5" s="94" t="s">
        <v>19</v>
      </c>
      <c r="D5" s="94" t="s">
        <v>5</v>
      </c>
      <c r="E5" s="108">
        <v>2026</v>
      </c>
      <c r="F5" s="112">
        <v>2027</v>
      </c>
      <c r="G5" s="115">
        <v>2026</v>
      </c>
      <c r="H5" s="112">
        <v>2027</v>
      </c>
      <c r="I5" s="115">
        <v>2026</v>
      </c>
      <c r="J5" s="112">
        <v>2027</v>
      </c>
      <c r="K5" s="115">
        <v>2026</v>
      </c>
      <c r="L5" s="109">
        <v>2027</v>
      </c>
    </row>
    <row r="6" spans="2:12">
      <c r="B6" s="1"/>
      <c r="C6" s="2"/>
      <c r="D6" s="104"/>
      <c r="E6" s="110"/>
      <c r="F6" s="104"/>
      <c r="G6" s="116"/>
      <c r="H6" s="104"/>
      <c r="I6" s="116"/>
      <c r="J6" s="104"/>
      <c r="K6" s="116"/>
      <c r="L6" s="111"/>
    </row>
    <row r="7" spans="2:12" ht="15.75">
      <c r="B7" s="3" t="s">
        <v>15</v>
      </c>
      <c r="C7" s="117">
        <f>Inputs!K5</f>
        <v>477027.9961662399</v>
      </c>
      <c r="D7" s="118">
        <f>Inputs!D5</f>
        <v>482887.9961662399</v>
      </c>
      <c r="E7" s="119">
        <f>Inputs!G14</f>
        <v>15805</v>
      </c>
      <c r="F7" s="118">
        <f>Inputs!K14</f>
        <v>17701.600000000002</v>
      </c>
      <c r="G7" s="120">
        <v>15059</v>
      </c>
      <c r="H7" s="118">
        <f>G7*(1+Inputs!K22)</f>
        <v>15630.171006530145</v>
      </c>
      <c r="I7" s="124">
        <f>C7/E7</f>
        <v>30.182094031397654</v>
      </c>
      <c r="J7" s="125">
        <f>C7/F7</f>
        <v>26.948298242319328</v>
      </c>
      <c r="K7" s="124">
        <f>D7/G7</f>
        <v>32.06640521722823</v>
      </c>
      <c r="L7" s="126">
        <f>D7/H7</f>
        <v>30.894607356790505</v>
      </c>
    </row>
    <row r="8" spans="2:12" ht="15.75">
      <c r="B8" s="3" t="s">
        <v>16</v>
      </c>
      <c r="C8" s="117">
        <f>Inputs!K6</f>
        <v>327389.51500000001</v>
      </c>
      <c r="D8" s="118">
        <f>Inputs!D6</f>
        <v>360473.71500000003</v>
      </c>
      <c r="E8" s="119">
        <f>Inputs!G15</f>
        <v>29743.709999999995</v>
      </c>
      <c r="F8" s="118">
        <f>Inputs!K15</f>
        <v>30992.945819999994</v>
      </c>
      <c r="G8" s="120">
        <v>21018.15</v>
      </c>
      <c r="H8" s="118">
        <f>G8*(1+Inputs!K23)</f>
        <v>20554.991899915232</v>
      </c>
      <c r="I8" s="124">
        <f t="shared" ref="I8:I10" si="0">C8/E8</f>
        <v>11.007016777664926</v>
      </c>
      <c r="J8" s="125">
        <f t="shared" ref="J8:J10" si="1">C8/F8</f>
        <v>10.563355832691869</v>
      </c>
      <c r="K8" s="124">
        <f t="shared" ref="K8:K10" si="2">D8/G8</f>
        <v>17.150591988352925</v>
      </c>
      <c r="L8" s="126">
        <f t="shared" ref="L8:L10" si="3">D8/H8</f>
        <v>17.537039992775995</v>
      </c>
    </row>
    <row r="9" spans="2:12" ht="15.75">
      <c r="B9" s="3" t="s">
        <v>17</v>
      </c>
      <c r="C9" s="117">
        <f>Inputs!K7</f>
        <v>64925.903499999971</v>
      </c>
      <c r="D9" s="118">
        <f>Inputs!D7</f>
        <v>72744.053499999995</v>
      </c>
      <c r="E9" s="119">
        <f>Inputs!G16</f>
        <v>3051.61</v>
      </c>
      <c r="F9" s="118">
        <f>Inputs!K16</f>
        <v>3204.1905000000002</v>
      </c>
      <c r="G9" s="120">
        <v>1868.69</v>
      </c>
      <c r="H9" s="118">
        <f>G9*(1+Inputs!K24)</f>
        <v>1887.1601717770438</v>
      </c>
      <c r="I9" s="124">
        <f t="shared" si="0"/>
        <v>21.275950563800738</v>
      </c>
      <c r="J9" s="125">
        <f t="shared" si="1"/>
        <v>20.262810060762607</v>
      </c>
      <c r="K9" s="124">
        <f t="shared" si="2"/>
        <v>38.92783366957601</v>
      </c>
      <c r="L9" s="126">
        <f t="shared" si="3"/>
        <v>38.546835921987785</v>
      </c>
    </row>
    <row r="10" spans="2:12" ht="15.75">
      <c r="B10" s="102" t="s">
        <v>18</v>
      </c>
      <c r="C10" s="121">
        <f>Inputs!K8</f>
        <v>100067.17943439999</v>
      </c>
      <c r="D10" s="121">
        <f>Inputs!D8</f>
        <v>100420.7294344</v>
      </c>
      <c r="E10" s="122">
        <f>Inputs!G17</f>
        <v>2956.55</v>
      </c>
      <c r="F10" s="121">
        <f>Inputs!K17</f>
        <v>3320.2056500000003</v>
      </c>
      <c r="G10" s="123">
        <v>1546.8</v>
      </c>
      <c r="H10" s="121">
        <f>G10*(1+Inputs!K25)</f>
        <v>1570.4473975794235</v>
      </c>
      <c r="I10" s="127">
        <f t="shared" si="0"/>
        <v>33.845928340261452</v>
      </c>
      <c r="J10" s="128">
        <f t="shared" si="1"/>
        <v>30.138849813233701</v>
      </c>
      <c r="K10" s="127">
        <f t="shared" si="2"/>
        <v>64.921599065425397</v>
      </c>
      <c r="L10" s="129">
        <f t="shared" si="3"/>
        <v>63.944026134960907</v>
      </c>
    </row>
    <row r="11" spans="2:12" ht="15.75">
      <c r="B11" s="3"/>
      <c r="C11" s="4"/>
      <c r="D11" s="4"/>
      <c r="E11" s="4"/>
      <c r="F11" s="4"/>
      <c r="G11" s="4"/>
      <c r="H11" s="4"/>
      <c r="I11" s="5"/>
      <c r="J11" s="5"/>
      <c r="K11" s="5"/>
      <c r="L11" s="5"/>
    </row>
    <row r="12" spans="2:12" ht="15.75">
      <c r="B12" s="3"/>
      <c r="C12" s="4"/>
      <c r="D12" s="4"/>
      <c r="E12" s="4"/>
      <c r="F12" s="4"/>
      <c r="G12" s="4"/>
      <c r="H12" s="4"/>
      <c r="I12" s="5"/>
      <c r="J12" s="5"/>
      <c r="K12" s="5"/>
      <c r="L12" s="5"/>
    </row>
    <row r="13" spans="2:12" ht="21">
      <c r="B13" s="41" t="s">
        <v>100</v>
      </c>
      <c r="C13" s="42"/>
      <c r="D13" s="42"/>
      <c r="E13" s="42"/>
      <c r="F13" s="42"/>
      <c r="G13" s="42"/>
      <c r="H13" s="42"/>
      <c r="I13" s="43"/>
      <c r="J13" s="43"/>
      <c r="K13" s="43"/>
      <c r="L13" s="43"/>
    </row>
    <row r="15" spans="2:12" ht="15.75">
      <c r="B15" s="6" t="s">
        <v>6</v>
      </c>
      <c r="C15" s="130">
        <f>E15*I15</f>
        <v>1287295.0962803685</v>
      </c>
      <c r="D15" s="144">
        <f>G15*K15</f>
        <v>1338979.2091912343</v>
      </c>
      <c r="E15" s="147">
        <f>Inputs!G13</f>
        <v>53464.1</v>
      </c>
      <c r="F15" s="139"/>
      <c r="G15" s="147">
        <v>34990.800000000003</v>
      </c>
      <c r="H15" s="139"/>
      <c r="I15" s="124">
        <f>AVERAGE(I7:I10)</f>
        <v>24.077747428281192</v>
      </c>
      <c r="J15" s="125">
        <f>AVERAGE(J7:J10)</f>
        <v>21.978328487251876</v>
      </c>
      <c r="K15" s="124">
        <f>AVERAGE(K7:K10)</f>
        <v>38.266607485145641</v>
      </c>
      <c r="L15" s="136">
        <f>AVERAGE(L7:L10)</f>
        <v>37.730627351628797</v>
      </c>
    </row>
    <row r="16" spans="2:12" ht="15.75">
      <c r="B16" s="6" t="s">
        <v>7</v>
      </c>
      <c r="C16" s="131">
        <f t="shared" ref="C16:C18" si="4">E16*I16</f>
        <v>1375579.021021073</v>
      </c>
      <c r="D16" s="144">
        <f t="shared" ref="D16:D18" si="5">G16*K16</f>
        <v>1242072.6070201951</v>
      </c>
      <c r="E16" s="148">
        <f>E15</f>
        <v>53464.1</v>
      </c>
      <c r="F16" s="139"/>
      <c r="G16" s="148">
        <f>G15</f>
        <v>34990.800000000003</v>
      </c>
      <c r="H16" s="140"/>
      <c r="I16" s="124">
        <f>MEDIAN(I7:I10)</f>
        <v>25.729022297599194</v>
      </c>
      <c r="J16" s="125">
        <f>MEDIAN(J7:J10)</f>
        <v>23.605554151540968</v>
      </c>
      <c r="K16" s="124">
        <f>MEDIAN(K7:K10)</f>
        <v>35.49711944340212</v>
      </c>
      <c r="L16" s="136">
        <f>MEDIAN(L7:L10)</f>
        <v>34.720721639389147</v>
      </c>
    </row>
    <row r="17" spans="2:12" ht="15.75">
      <c r="B17" s="6" t="s">
        <v>8</v>
      </c>
      <c r="C17" s="131">
        <f t="shared" si="4"/>
        <v>1809542.0973765722</v>
      </c>
      <c r="D17" s="144">
        <f t="shared" si="5"/>
        <v>2271658.6885784874</v>
      </c>
      <c r="E17" s="148">
        <f t="shared" ref="E17:E18" si="6">E16</f>
        <v>53464.1</v>
      </c>
      <c r="F17" s="142"/>
      <c r="G17" s="148">
        <f t="shared" ref="G17:G18" si="7">G16</f>
        <v>34990.800000000003</v>
      </c>
      <c r="H17" s="140"/>
      <c r="I17" s="145">
        <f>MAX(I7:I10)</f>
        <v>33.845928340261452</v>
      </c>
      <c r="J17" s="138">
        <f t="shared" ref="J17" si="8">MAX(J7:J10)</f>
        <v>30.138849813233701</v>
      </c>
      <c r="K17" s="145">
        <f>MAX(K7:K10)</f>
        <v>64.921599065425397</v>
      </c>
      <c r="L17" s="137">
        <f t="shared" ref="L17" si="9">MAX(L7:L10)</f>
        <v>63.944026134960907</v>
      </c>
    </row>
    <row r="18" spans="2:12" ht="15.75">
      <c r="B18" s="132" t="s">
        <v>9</v>
      </c>
      <c r="C18" s="133">
        <f t="shared" si="4"/>
        <v>588480.2457027554</v>
      </c>
      <c r="D18" s="133">
        <f t="shared" si="5"/>
        <v>600112.93414605956</v>
      </c>
      <c r="E18" s="149">
        <f t="shared" si="6"/>
        <v>53464.1</v>
      </c>
      <c r="F18" s="143"/>
      <c r="G18" s="149">
        <f t="shared" si="7"/>
        <v>34990.800000000003</v>
      </c>
      <c r="H18" s="141"/>
      <c r="I18" s="146">
        <f>MIN(I7:I10)</f>
        <v>11.007016777664926</v>
      </c>
      <c r="J18" s="134">
        <f t="shared" ref="J18" si="10">MIN(J7:J10)</f>
        <v>10.563355832691869</v>
      </c>
      <c r="K18" s="146">
        <f>MIN(K7:K10)</f>
        <v>17.150591988352925</v>
      </c>
      <c r="L18" s="135">
        <f t="shared" ref="L18" si="11">MIN(L7:L10)</f>
        <v>17.537039992775995</v>
      </c>
    </row>
  </sheetData>
  <mergeCells count="1">
    <mergeCell ref="B4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6004-9AF6-47F2-B49D-F967F3E74FB2}">
  <dimension ref="B2:G20"/>
  <sheetViews>
    <sheetView showGridLines="0" zoomScale="130" zoomScaleNormal="130" workbookViewId="0"/>
  </sheetViews>
  <sheetFormatPr defaultRowHeight="15"/>
  <cols>
    <col min="1" max="1" width="6.5703125" customWidth="1"/>
    <col min="2" max="2" width="28.42578125" customWidth="1"/>
    <col min="3" max="3" width="26" bestFit="1" customWidth="1"/>
    <col min="4" max="4" width="32.140625" bestFit="1" customWidth="1"/>
    <col min="5" max="5" width="11.85546875" bestFit="1" customWidth="1"/>
    <col min="6" max="6" width="12.140625" customWidth="1"/>
    <col min="7" max="7" width="14.42578125" bestFit="1" customWidth="1"/>
    <col min="8" max="9" width="9" customWidth="1"/>
  </cols>
  <sheetData>
    <row r="2" spans="2:7" ht="26.25">
      <c r="B2" s="26" t="s">
        <v>10</v>
      </c>
      <c r="C2" s="27"/>
      <c r="D2" s="27"/>
      <c r="E2" s="27"/>
      <c r="F2" s="27"/>
      <c r="G2" s="27"/>
    </row>
    <row r="3" spans="2:7" ht="16.5">
      <c r="B3" s="7"/>
      <c r="C3" s="8"/>
      <c r="D3" s="8"/>
      <c r="E3" s="8"/>
      <c r="F3" s="8"/>
      <c r="G3" s="8"/>
    </row>
    <row r="4" spans="2:7">
      <c r="B4" s="50" t="s">
        <v>11</v>
      </c>
      <c r="C4" s="51" t="s">
        <v>12</v>
      </c>
      <c r="D4" s="51" t="s">
        <v>13</v>
      </c>
      <c r="E4" s="164" t="s">
        <v>1</v>
      </c>
      <c r="F4" s="150" t="s">
        <v>35</v>
      </c>
      <c r="G4" s="159" t="s">
        <v>64</v>
      </c>
    </row>
    <row r="5" spans="2:7">
      <c r="B5" s="50"/>
      <c r="C5" s="51"/>
      <c r="D5" s="51"/>
      <c r="E5" s="44" t="s">
        <v>14</v>
      </c>
      <c r="F5" s="151">
        <v>2026</v>
      </c>
      <c r="G5" s="160">
        <v>2026</v>
      </c>
    </row>
    <row r="6" spans="2:7">
      <c r="B6" s="45"/>
      <c r="C6" s="9"/>
      <c r="D6" s="9"/>
      <c r="E6" s="165"/>
      <c r="F6" s="152"/>
      <c r="G6" s="161"/>
    </row>
    <row r="7" spans="2:7">
      <c r="B7" s="49">
        <v>45694</v>
      </c>
      <c r="C7" s="47" t="s">
        <v>16</v>
      </c>
      <c r="D7" s="46" t="s">
        <v>65</v>
      </c>
      <c r="E7" s="166">
        <v>300</v>
      </c>
      <c r="F7" s="153">
        <f>200/3*12</f>
        <v>800</v>
      </c>
      <c r="G7" s="162">
        <f t="shared" ref="G7:G12" si="0">$E7/F7</f>
        <v>0.375</v>
      </c>
    </row>
    <row r="8" spans="2:7">
      <c r="B8" s="49">
        <v>45764</v>
      </c>
      <c r="C8" s="47" t="s">
        <v>16</v>
      </c>
      <c r="D8" s="15" t="s">
        <v>59</v>
      </c>
      <c r="E8" s="166">
        <v>472.5</v>
      </c>
      <c r="F8" s="153">
        <v>306</v>
      </c>
      <c r="G8" s="162">
        <f t="shared" si="0"/>
        <v>1.5441176470588236</v>
      </c>
    </row>
    <row r="9" spans="2:7">
      <c r="B9" s="49">
        <v>44860</v>
      </c>
      <c r="C9" s="48" t="s">
        <v>17</v>
      </c>
      <c r="D9" s="15" t="s">
        <v>60</v>
      </c>
      <c r="E9" s="166">
        <v>1152</v>
      </c>
      <c r="F9" s="153">
        <f>E9/4.5</f>
        <v>256</v>
      </c>
      <c r="G9" s="162">
        <f t="shared" si="0"/>
        <v>4.5</v>
      </c>
    </row>
    <row r="10" spans="2:7">
      <c r="B10" s="49">
        <v>45303</v>
      </c>
      <c r="C10" s="48" t="s">
        <v>18</v>
      </c>
      <c r="D10" s="46" t="s">
        <v>61</v>
      </c>
      <c r="E10" s="166">
        <v>5100</v>
      </c>
      <c r="F10" s="153">
        <v>705.5</v>
      </c>
      <c r="G10" s="162">
        <f t="shared" si="0"/>
        <v>7.2289156626506026</v>
      </c>
    </row>
    <row r="11" spans="2:7">
      <c r="B11" s="49">
        <v>45334</v>
      </c>
      <c r="C11" s="48" t="s">
        <v>18</v>
      </c>
      <c r="D11" s="46" t="s">
        <v>62</v>
      </c>
      <c r="E11" s="166">
        <v>1900</v>
      </c>
      <c r="F11" s="153">
        <v>324.39999999999998</v>
      </c>
      <c r="G11" s="162">
        <f t="shared" si="0"/>
        <v>5.856966707768188</v>
      </c>
    </row>
    <row r="12" spans="2:7">
      <c r="B12" s="154">
        <v>45781</v>
      </c>
      <c r="C12" s="155" t="s">
        <v>58</v>
      </c>
      <c r="D12" s="156" t="s">
        <v>63</v>
      </c>
      <c r="E12" s="157">
        <v>603</v>
      </c>
      <c r="F12" s="158">
        <v>386</v>
      </c>
      <c r="G12" s="163">
        <f t="shared" si="0"/>
        <v>1.5621761658031088</v>
      </c>
    </row>
    <row r="13" spans="2:7" ht="15.75">
      <c r="B13" s="4"/>
      <c r="C13" s="4"/>
      <c r="D13" s="4"/>
      <c r="E13" s="4"/>
      <c r="F13" s="4"/>
      <c r="G13" s="5"/>
    </row>
    <row r="14" spans="2:7" ht="15.75">
      <c r="B14" s="4"/>
      <c r="C14" s="4"/>
      <c r="D14" s="4"/>
      <c r="E14" s="4"/>
      <c r="F14" s="4"/>
      <c r="G14" s="5"/>
    </row>
    <row r="15" spans="2:7" ht="26.25">
      <c r="B15" s="26" t="s">
        <v>101</v>
      </c>
      <c r="C15" s="27"/>
      <c r="D15" s="27"/>
      <c r="E15" s="27"/>
      <c r="F15" s="27"/>
      <c r="G15" s="27"/>
    </row>
    <row r="16" spans="2:7" ht="16.5">
      <c r="B16" s="10"/>
      <c r="C16" s="11"/>
      <c r="D16" s="12"/>
      <c r="E16" s="12"/>
      <c r="F16" s="12"/>
      <c r="G16" s="13"/>
    </row>
    <row r="17" spans="2:7" ht="16.5">
      <c r="B17" s="6" t="s">
        <v>6</v>
      </c>
      <c r="C17" s="11"/>
      <c r="D17" s="12"/>
      <c r="E17" s="167">
        <f>F17*G17</f>
        <v>813003.39608898631</v>
      </c>
      <c r="F17" s="168">
        <f>Inputs!H13</f>
        <v>231546</v>
      </c>
      <c r="G17" s="137">
        <f>AVERAGE(G7:G12)</f>
        <v>3.5111960305467869</v>
      </c>
    </row>
    <row r="18" spans="2:7" ht="16.5">
      <c r="B18" s="6" t="s">
        <v>7</v>
      </c>
      <c r="C18" s="11"/>
      <c r="D18" s="12"/>
      <c r="E18" s="167">
        <f>F18*G18</f>
        <v>701836.32124352339</v>
      </c>
      <c r="F18" s="168">
        <f>F17</f>
        <v>231546</v>
      </c>
      <c r="G18" s="137">
        <f>MEDIAN(G7:G12)</f>
        <v>3.0310880829015545</v>
      </c>
    </row>
    <row r="19" spans="2:7" ht="16.5">
      <c r="B19" s="14" t="s">
        <v>8</v>
      </c>
      <c r="C19" s="7"/>
      <c r="D19" s="12"/>
      <c r="E19" s="167">
        <f>F19*G19</f>
        <v>1673826.5060240964</v>
      </c>
      <c r="F19" s="168">
        <f t="shared" ref="F19:F20" si="1">F18</f>
        <v>231546</v>
      </c>
      <c r="G19" s="137">
        <f>MAX(G7:G12)</f>
        <v>7.2289156626506026</v>
      </c>
    </row>
    <row r="20" spans="2:7" ht="16.5">
      <c r="B20" s="169" t="s">
        <v>9</v>
      </c>
      <c r="C20" s="170"/>
      <c r="D20" s="171"/>
      <c r="E20" s="172">
        <f>F20*G20</f>
        <v>86829.75</v>
      </c>
      <c r="F20" s="173">
        <f t="shared" si="1"/>
        <v>231546</v>
      </c>
      <c r="G20" s="135">
        <f>MIN(G7:G12)</f>
        <v>0.375</v>
      </c>
    </row>
  </sheetData>
  <mergeCells count="3">
    <mergeCell ref="B4:B5"/>
    <mergeCell ref="C4:C5"/>
    <mergeCell ref="D4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7393-CBC2-4FB4-A6F5-991AB1B6D9C4}">
  <dimension ref="B2:U13"/>
  <sheetViews>
    <sheetView showGridLines="0" workbookViewId="0"/>
  </sheetViews>
  <sheetFormatPr defaultRowHeight="15"/>
  <cols>
    <col min="2" max="2" width="8.140625" bestFit="1" customWidth="1"/>
    <col min="3" max="3" width="52.5703125" customWidth="1"/>
    <col min="4" max="4" width="12" bestFit="1" customWidth="1"/>
    <col min="20" max="20" width="11.5703125" customWidth="1"/>
    <col min="21" max="21" width="10.85546875" customWidth="1"/>
    <col min="22" max="22" width="11.140625" customWidth="1"/>
    <col min="23" max="23" width="8.140625" customWidth="1"/>
  </cols>
  <sheetData>
    <row r="2" spans="2:6" ht="15.75">
      <c r="B2" s="29" t="s">
        <v>82</v>
      </c>
      <c r="C2" s="90" t="s">
        <v>83</v>
      </c>
      <c r="D2" s="55"/>
      <c r="E2" s="55"/>
      <c r="F2" s="55"/>
    </row>
    <row r="3" spans="2:6">
      <c r="B3">
        <v>1</v>
      </c>
      <c r="C3" t="s">
        <v>86</v>
      </c>
    </row>
    <row r="4" spans="2:6">
      <c r="C4" t="s">
        <v>87</v>
      </c>
    </row>
    <row r="5" spans="2:6">
      <c r="C5" t="s">
        <v>85</v>
      </c>
    </row>
    <row r="6" spans="2:6">
      <c r="C6" t="s">
        <v>84</v>
      </c>
    </row>
    <row r="7" spans="2:6">
      <c r="B7">
        <v>2</v>
      </c>
      <c r="C7" t="s">
        <v>47</v>
      </c>
    </row>
    <row r="8" spans="2:6">
      <c r="C8" s="15" t="s">
        <v>15</v>
      </c>
      <c r="D8" s="22">
        <v>0.123</v>
      </c>
    </row>
    <row r="9" spans="2:6">
      <c r="C9" s="15" t="s">
        <v>16</v>
      </c>
      <c r="D9" s="22">
        <v>4.2000000000000003E-2</v>
      </c>
    </row>
    <row r="10" spans="2:6">
      <c r="C10" s="15" t="s">
        <v>17</v>
      </c>
      <c r="D10" s="23">
        <v>0.05</v>
      </c>
    </row>
    <row r="11" spans="2:6">
      <c r="C11" s="15" t="s">
        <v>18</v>
      </c>
      <c r="D11" s="22">
        <v>0.123</v>
      </c>
    </row>
    <row r="12" spans="2:6">
      <c r="B12">
        <v>3</v>
      </c>
      <c r="C12" t="s">
        <v>88</v>
      </c>
    </row>
    <row r="13" spans="2:6">
      <c r="C13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A864-A227-403D-AC40-274FBB8CDE8D}">
  <dimension ref="B1:C6"/>
  <sheetViews>
    <sheetView workbookViewId="0"/>
  </sheetViews>
  <sheetFormatPr defaultRowHeight="15"/>
  <sheetData>
    <row r="1" spans="2:3" ht="15.75" thickBot="1"/>
    <row r="2" spans="2:3" ht="30.75" thickBot="1">
      <c r="B2" s="18" t="s">
        <v>33</v>
      </c>
      <c r="C2" s="20" t="s">
        <v>34</v>
      </c>
    </row>
    <row r="3" spans="2:3" ht="29.25" thickBot="1">
      <c r="B3" s="19" t="s">
        <v>35</v>
      </c>
      <c r="C3" s="21" t="s">
        <v>36</v>
      </c>
    </row>
    <row r="4" spans="2:3" ht="15.75" thickBot="1">
      <c r="B4" s="19" t="s">
        <v>3</v>
      </c>
      <c r="C4" s="21" t="s">
        <v>37</v>
      </c>
    </row>
    <row r="5" spans="2:3" ht="15.75" thickBot="1">
      <c r="B5" s="19" t="s">
        <v>38</v>
      </c>
      <c r="C5" s="21" t="s">
        <v>39</v>
      </c>
    </row>
    <row r="6" spans="2:3" ht="29.25" thickBot="1">
      <c r="B6" s="19" t="s">
        <v>40</v>
      </c>
      <c r="C6" s="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Inputs</vt:lpstr>
      <vt:lpstr>Trading Comps</vt:lpstr>
      <vt:lpstr>Precedent Transactions</vt:lpstr>
      <vt:lpstr>Appendix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Talib Raeen</dc:creator>
  <cp:lastModifiedBy>Talib Raeen</cp:lastModifiedBy>
  <dcterms:created xsi:type="dcterms:W3CDTF">2015-06-05T18:17:20Z</dcterms:created>
  <dcterms:modified xsi:type="dcterms:W3CDTF">2026-06-25T11:17:44Z</dcterms:modified>
</cp:coreProperties>
</file>